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Types>
</file>

<file path=_rels/.rels>&#65279;<?xml version="1.0" encoding="utf-8"?><Relationships xmlns="http://schemas.openxmlformats.org/package/2006/relationships"><Relationship Type="http://schemas.openxmlformats.org/officeDocument/2006/relationships/officeDocument" Target="/xl/workbook.xml" Id="R873da206067046f2" /></Relationships>
</file>

<file path=xl/workbook.xml><?xml version="1.0" encoding="utf-8"?>
<x:workbook xmlns:x="http://schemas.openxmlformats.org/spreadsheetml/2006/main">
  <x:sheets>
    <x:sheet xmlns:r="http://schemas.openxmlformats.org/officeDocument/2006/relationships" name="Start Here" sheetId="1" r:id="R75b5ef58e6a74152"/>
    <x:sheet xmlns:r="http://schemas.openxmlformats.org/officeDocument/2006/relationships" name="Property Input" sheetId="2" r:id="R71b0e990bbb54cb5"/>
    <x:sheet xmlns:r="http://schemas.openxmlformats.org/officeDocument/2006/relationships" name="Analysis" sheetId="3" r:id="Rdc230372cc714f22"/>
    <x:sheet xmlns:r="http://schemas.openxmlformats.org/officeDocument/2006/relationships" name="Stress Test" sheetId="4" r:id="Re9e93c6111764722"/>
    <x:sheet xmlns:r="http://schemas.openxmlformats.org/officeDocument/2006/relationships" name="Checks" sheetId="5" r:id="Ree46cbba01f644da"/>
  </x:sheets>
</x:workbook>
</file>

<file path=xl/sharedStrings.xml><?xml version="1.0" encoding="utf-8"?>
<x:sst xmlns:x="http://schemas.openxmlformats.org/spreadsheetml/2006/main"/>
</file>

<file path=xl/styles.xml><?xml version="1.0" encoding="utf-8"?>
<x:styleSheet xmlns:x="http://schemas.openxmlformats.org/spreadsheetml/2006/main">
  <x:numFmts count="7">
    <x:numFmt numFmtId="200" formatCode="yyyy-mm-dd"/>
    <x:numFmt numFmtId="201" formatCode="&quot;$&quot;#,##0;[Red](&quot;$&quot;#,##0);-"/>
    <x:numFmt numFmtId="202" formatCode="0.0%"/>
    <x:numFmt numFmtId="203" formatCode="&quot;$&quot;#,##0"/>
    <x:numFmt numFmtId="204" formatCode="0"/>
    <x:numFmt numFmtId="205" formatCode="0.00x"/>
    <x:numFmt numFmtId="206" formatCode="0%"/>
  </x:numFmts>
  <x:fonts count="16">
    <x:font>
      <x:sz val="11"/>
      <x:name val="Carlito"/>
    </x:font>
    <x:font>
      <x:sz val="10"/>
      <x:color rgb="FF0B1F33"/>
      <x:name val="Aptos"/>
    </x:font>
    <x:font>
      <x:b/>
      <x:sz val="20"/>
      <x:color rgb="FFFFFFFF"/>
      <x:name val="Aptos Display"/>
    </x:font>
    <x:font>
      <x:i/>
      <x:sz val="10"/>
      <x:color rgb="FF0B1F33"/>
      <x:name val="Aptos"/>
    </x:font>
    <x:font>
      <x:b/>
      <x:sz val="12"/>
      <x:color rgb="FF0B1F33"/>
      <x:name val="Aptos"/>
    </x:font>
    <x:font>
      <x:b/>
      <x:sz val="14"/>
      <x:color rgb="FFFFFFFF"/>
      <x:name val="Aptos"/>
    </x:font>
    <x:font>
      <x:b/>
      <x:sz val="11"/>
      <x:color rgb="FFFFFFFF"/>
      <x:name val="Aptos"/>
    </x:font>
    <x:font>
      <x:b/>
      <x:sz val="10"/>
      <x:color rgb="FF0000FF"/>
      <x:name val="Aptos"/>
    </x:font>
    <x:font>
      <x:b/>
      <x:sz val="10"/>
      <x:color rgb="FF000000"/>
      <x:name val="Aptos"/>
    </x:font>
    <x:font>
      <x:b/>
      <x:sz val="10"/>
      <x:color rgb="FFB45309"/>
      <x:name val="Aptos"/>
    </x:font>
    <x:font>
      <x:b/>
      <x:sz val="10"/>
      <x:color rgb="FF0B1F33"/>
      <x:name val="Aptos"/>
    </x:font>
    <x:font>
      <x:sz val="10"/>
      <x:color rgb="FF0000FF"/>
      <x:name val="Aptos"/>
    </x:font>
    <x:font>
      <x:b/>
      <x:sz val="11"/>
      <x:color rgb="FF0000FF"/>
      <x:name val="Aptos"/>
    </x:font>
    <x:font>
      <x:sz val="10"/>
      <x:color rgb="FF000000"/>
      <x:name val="Aptos"/>
    </x:font>
    <x:font>
      <x:b/>
      <x:sz val="10"/>
      <x:color rgb="FF008000"/>
      <x:name val="Aptos"/>
    </x:font>
    <x:font>
      <x:b/>
      <x:sz val="10"/>
      <x:color rgb="FFFFFFFF"/>
      <x:name val="Aptos"/>
    </x:font>
  </x:fonts>
  <x:fills count="10">
    <x:fill>
      <x:patternFill patternType="none"/>
    </x:fill>
    <x:fill>
      <x:patternFill patternType="gray125"/>
    </x:fill>
    <x:fill>
      <x:patternFill patternType="solid">
        <x:fgColor rgb="FF0B1F33"/>
      </x:patternFill>
    </x:fill>
    <x:fill>
      <x:patternFill patternType="solid">
        <x:fgColor rgb="FFDCE7F5"/>
      </x:patternFill>
    </x:fill>
    <x:fill>
      <x:patternFill patternType="solid">
        <x:fgColor rgb="FF06B6D4"/>
      </x:patternFill>
    </x:fill>
    <x:fill>
      <x:patternFill patternType="solid">
        <x:fgColor rgb="FF1D4ED8"/>
      </x:patternFill>
    </x:fill>
    <x:fill>
      <x:patternFill patternType="solid">
        <x:fgColor rgb="FFE8F1FF"/>
      </x:patternFill>
    </x:fill>
    <x:fill>
      <x:patternFill patternType="solid">
        <x:fgColor rgb="FFFFF8CC"/>
      </x:patternFill>
    </x:fill>
    <x:fill>
      <x:patternFill patternType="solid">
        <x:fgColor rgb="FFFEF3C7"/>
      </x:patternFill>
    </x:fill>
    <x:fill>
      <x:patternFill patternType="solid">
        <x:fgColor rgb="FFF1F5F9"/>
      </x:patternFill>
    </x:fill>
  </x:fills>
  <x:borders count="25">
    <x:border/>
    <x:border>
      <x:left style="thin">
        <x:color rgb="FFCBD5E1"/>
      </x:left>
      <x:right style="thin">
        <x:color rgb="FFCBD5E1"/>
      </x:right>
      <x:top style="thin">
        <x:color rgb="FFCBD5E1"/>
      </x:top>
      <x:bottom style="thin">
        <x:color rgb="FFCBD5E1"/>
      </x:bottom>
    </x:border>
    <x:border>
      <x:left style="medium">
        <x:color rgb="FFB45309"/>
      </x:left>
      <x:top style="medium">
        <x:color rgb="FFB45309"/>
      </x:top>
    </x:border>
    <x:border>
      <x:top style="medium">
        <x:color rgb="FFB45309"/>
      </x:top>
    </x:border>
    <x:border>
      <x:right style="medium">
        <x:color rgb="FFB45309"/>
      </x:right>
      <x:top style="medium">
        <x:color rgb="FFB45309"/>
      </x:top>
    </x:border>
    <x:border>
      <x:left style="medium">
        <x:color rgb="FFB45309"/>
      </x:left>
    </x:border>
    <x:border>
      <x:right style="medium">
        <x:color rgb="FFB45309"/>
      </x:right>
    </x:border>
    <x:border>
      <x:left style="medium">
        <x:color rgb="FFB45309"/>
      </x:left>
      <x:bottom style="medium">
        <x:color rgb="FFB45309"/>
      </x:bottom>
    </x:border>
    <x:border>
      <x:bottom style="medium">
        <x:color rgb="FFB45309"/>
      </x:bottom>
    </x:border>
    <x:border>
      <x:right style="medium">
        <x:color rgb="FFB45309"/>
      </x:right>
      <x:bottom style="medium">
        <x:color rgb="FFB45309"/>
      </x:bottom>
    </x:border>
    <x:border>
      <x:left style="thin">
        <x:color rgb="FFD6B656"/>
      </x:left>
      <x:right style="thin">
        <x:color rgb="FFD6B656"/>
      </x:right>
      <x:top style="thin">
        <x:color rgb="FFD6B656"/>
      </x:top>
    </x:border>
    <x:border>
      <x:left style="thin">
        <x:color rgb="FFD6B656"/>
      </x:left>
      <x:right style="thin">
        <x:color rgb="FFD6B656"/>
      </x:right>
    </x:border>
    <x:border>
      <x:left style="thin">
        <x:color rgb="FFD6B656"/>
      </x:left>
      <x:right style="thin">
        <x:color rgb="FFD6B656"/>
      </x:right>
      <x:bottom style="thin">
        <x:color rgb="FFD6B656"/>
      </x:bottom>
    </x:border>
    <x:border>
      <x:left style="thin">
        <x:color rgb="FFD6B656"/>
      </x:left>
    </x:border>
    <x:border>
      <x:left style="thin">
        <x:color rgb="FFD6B656"/>
      </x:left>
      <x:bottom style="thin">
        <x:color rgb="FFD6B656"/>
      </x:bottom>
    </x:border>
    <x:border>
      <x:left style="thin">
        <x:color rgb="FFD6B656"/>
      </x:left>
      <x:top style="thin">
        <x:color rgb="FFD6B656"/>
      </x:top>
    </x:border>
    <x:border>
      <x:left style="medium">
        <x:color rgb="FF1D4ED8"/>
      </x:left>
      <x:top style="medium">
        <x:color rgb="FF1D4ED8"/>
      </x:top>
    </x:border>
    <x:border>
      <x:top style="medium">
        <x:color rgb="FF1D4ED8"/>
      </x:top>
    </x:border>
    <x:border>
      <x:right style="medium">
        <x:color rgb="FF1D4ED8"/>
      </x:right>
      <x:top style="medium">
        <x:color rgb="FF1D4ED8"/>
      </x:top>
    </x:border>
    <x:border>
      <x:left style="medium">
        <x:color rgb="FF1D4ED8"/>
      </x:left>
    </x:border>
    <x:border>
      <x:right style="medium">
        <x:color rgb="FF1D4ED8"/>
      </x:right>
    </x:border>
    <x:border>
      <x:left style="medium">
        <x:color rgb="FF1D4ED8"/>
      </x:left>
      <x:bottom style="medium">
        <x:color rgb="FF1D4ED8"/>
      </x:bottom>
    </x:border>
    <x:border>
      <x:bottom style="medium">
        <x:color rgb="FF1D4ED8"/>
      </x:bottom>
    </x:border>
    <x:border>
      <x:right style="medium">
        <x:color rgb="FF1D4ED8"/>
      </x:right>
      <x:bottom style="medium">
        <x:color rgb="FF1D4ED8"/>
      </x:bottom>
    </x:border>
    <x:border>
      <x:left style="medium">
        <x:color rgb="FF1D4ED8"/>
      </x:left>
      <x:right style="medium">
        <x:color rgb="FF1D4ED8"/>
      </x:right>
      <x:top style="medium">
        <x:color rgb="FF1D4ED8"/>
      </x:top>
      <x:bottom style="medium">
        <x:color rgb="FF1D4ED8"/>
      </x:bottom>
    </x:border>
  </x:borders>
  <x:cellStyleXfs count="1">
    <x:xf numFmtId="0" fontId="0" fillId="0" borderId="0"/>
  </x:cellStyleXfs>
  <x:cellXfs count="144">
    <x:xf numFmtId="0" fontId="0" fillId="0" borderId="0" xfId="0"/>
    <x:xf numFmtId="0" fontId="1" fillId="0" borderId="0" xfId="0" applyNumberFormat="1" applyFont="1" applyFill="1" applyBorder="1"/>
    <x:xf numFmtId="0" fontId="1" fillId="2" borderId="0" xfId="0" applyNumberFormat="1" applyFont="1" applyFill="1" applyBorder="1"/>
    <x:xf numFmtId="0" fontId="2" fillId="2" borderId="0" xfId="0" applyNumberFormat="1" applyFont="1" applyFill="1" applyBorder="1"/>
    <x:xf numFmtId="0" fontId="2" fillId="2" borderId="0" xfId="0" applyNumberFormat="1" applyFont="1" applyFill="1" applyBorder="1" applyAlignment="1">
      <x:alignment horizontal="left"/>
    </x:xf>
    <x:xf numFmtId="0" fontId="2" fillId="2" borderId="0" xfId="0" applyNumberFormat="1" applyFont="1" applyFill="1" applyBorder="1" applyAlignment="1">
      <x:alignment horizontal="left" vertical="center"/>
    </x:xf>
    <x:xf numFmtId="0" fontId="1" fillId="3" borderId="0" xfId="0" applyNumberFormat="1" applyFont="1" applyFill="1" applyBorder="1"/>
    <x:xf numFmtId="0" fontId="3" fillId="3" borderId="0" xfId="0" applyNumberFormat="1" applyFont="1" applyFill="1" applyBorder="1"/>
    <x:xf numFmtId="0" fontId="3" fillId="3" borderId="0" xfId="0" applyNumberFormat="1" applyFont="1" applyFill="1" applyBorder="1" applyAlignment="1">
      <x:alignment wrapText="1"/>
    </x:xf>
    <x:xf numFmtId="0" fontId="1" fillId="4" borderId="0" xfId="0" applyNumberFormat="1" applyFont="1" applyFill="1" applyBorder="1"/>
    <x:xf numFmtId="0" fontId="4" fillId="4" borderId="0" xfId="0" applyNumberFormat="1" applyFont="1" applyFill="1" applyBorder="1"/>
    <x:xf numFmtId="0" fontId="4" fillId="4" borderId="0" xfId="0" applyNumberFormat="1" applyFont="1" applyFill="1" applyBorder="1" applyAlignment="1">
      <x:alignment horizontal="center"/>
    </x:xf>
    <x:xf numFmtId="0" fontId="1" fillId="5" borderId="0" xfId="0" applyNumberFormat="1" applyFont="1" applyFill="1" applyBorder="1"/>
    <x:xf numFmtId="0" fontId="5" fillId="5" borderId="0" xfId="0" applyNumberFormat="1" applyFont="1" applyFill="1" applyBorder="1"/>
    <x:xf numFmtId="0" fontId="5" fillId="5" borderId="0" xfId="0" applyNumberFormat="1" applyFont="1" applyFill="1" applyBorder="1" applyAlignment="1">
      <x:alignment horizontal="center"/>
    </x:xf>
    <x:xf numFmtId="0" fontId="5" fillId="5" borderId="0" xfId="0" applyNumberFormat="1" applyFont="1" applyFill="1" applyBorder="1" applyAlignment="1">
      <x:alignment horizontal="center" vertical="center"/>
    </x:xf>
    <x:xf numFmtId="0" fontId="1" fillId="6" borderId="0" xfId="0" applyNumberFormat="1" applyFont="1" applyFill="1" applyBorder="1"/>
    <x:xf numFmtId="0" fontId="4" fillId="6" borderId="0" xfId="0" applyNumberFormat="1" applyFont="1" applyFill="1" applyBorder="1"/>
    <x:xf numFmtId="0" fontId="4" fillId="6" borderId="0" xfId="0" applyNumberFormat="1" applyFont="1" applyFill="1" applyBorder="1" applyAlignment="1">
      <x:alignment vertical="center"/>
    </x:xf>
    <x:xf numFmtId="0" fontId="5" fillId="5" borderId="1" xfId="0" applyNumberFormat="1" applyFont="1" applyFill="1" applyBorder="1" applyAlignment="1">
      <x:alignment horizontal="center" vertical="center"/>
    </x:xf>
    <x:xf numFmtId="0" fontId="4" fillId="6" borderId="1" xfId="0" applyNumberFormat="1" applyFont="1" applyFill="1" applyBorder="1" applyAlignment="1">
      <x:alignment vertical="center"/>
    </x:xf>
    <x:xf numFmtId="0" fontId="6" fillId="5" borderId="0" xfId="0" applyNumberFormat="1" applyFont="1" applyFill="1" applyBorder="1"/>
    <x:xf numFmtId="0" fontId="6" fillId="5" borderId="0" xfId="0" applyNumberFormat="1" applyFont="1" applyFill="1" applyBorder="1" applyAlignment="1">
      <x:alignment vertical="center"/>
    </x:xf>
    <x:xf numFmtId="0" fontId="1" fillId="7" borderId="0" xfId="0" applyNumberFormat="1" applyFont="1" applyFill="1" applyBorder="1"/>
    <x:xf numFmtId="0" fontId="7" fillId="7" borderId="0" xfId="0" applyNumberFormat="1" applyFont="1" applyFill="1" applyBorder="1"/>
    <x:xf numFmtId="0" fontId="8" fillId="0" borderId="0" xfId="0" applyNumberFormat="1" applyFont="1" applyFill="1" applyBorder="1"/>
    <x:xf numFmtId="0" fontId="7" fillId="7" borderId="1" xfId="0" applyNumberFormat="1" applyFont="1" applyFill="1" applyBorder="1"/>
    <x:xf numFmtId="0" fontId="1" fillId="0" borderId="1" xfId="0" applyNumberFormat="1" applyFont="1" applyFill="1" applyBorder="1"/>
    <x:xf numFmtId="0" fontId="8" fillId="0" borderId="1" xfId="0" applyNumberFormat="1" applyFont="1" applyFill="1" applyBorder="1"/>
    <x:xf numFmtId="0" fontId="1" fillId="8" borderId="0" xfId="0" applyNumberFormat="1" applyFont="1" applyFill="1" applyBorder="1"/>
    <x:xf numFmtId="0" fontId="9" fillId="8" borderId="0" xfId="0" applyNumberFormat="1" applyFont="1" applyFill="1" applyBorder="1"/>
    <x:xf numFmtId="0" fontId="9" fillId="8" borderId="2" xfId="0" applyNumberFormat="1" applyFont="1" applyFill="1" applyBorder="1"/>
    <x:xf numFmtId="0" fontId="9" fillId="8" borderId="3" xfId="0" applyNumberFormat="1" applyFont="1" applyFill="1" applyBorder="1"/>
    <x:xf numFmtId="0" fontId="9" fillId="8" borderId="4" xfId="0" applyNumberFormat="1" applyFont="1" applyFill="1" applyBorder="1"/>
    <x:xf numFmtId="0" fontId="9" fillId="8" borderId="5" xfId="0" applyNumberFormat="1" applyFont="1" applyFill="1" applyBorder="1"/>
    <x:xf numFmtId="0" fontId="9" fillId="8" borderId="6" xfId="0" applyNumberFormat="1" applyFont="1" applyFill="1" applyBorder="1"/>
    <x:xf numFmtId="0" fontId="9" fillId="8" borderId="7" xfId="0" applyNumberFormat="1" applyFont="1" applyFill="1" applyBorder="1"/>
    <x:xf numFmtId="0" fontId="9" fillId="8" borderId="8" xfId="0" applyNumberFormat="1" applyFont="1" applyFill="1" applyBorder="1"/>
    <x:xf numFmtId="0" fontId="9" fillId="8" borderId="9" xfId="0" applyNumberFormat="1" applyFont="1" applyFill="1" applyBorder="1"/>
    <x:xf numFmtId="0" fontId="9" fillId="8" borderId="2" xfId="0" applyNumberFormat="1" applyFont="1" applyFill="1" applyBorder="1" applyAlignment="1">
      <x:alignment wrapText="1"/>
    </x:xf>
    <x:xf numFmtId="0" fontId="9" fillId="8" borderId="3" xfId="0" applyNumberFormat="1" applyFont="1" applyFill="1" applyBorder="1" applyAlignment="1">
      <x:alignment wrapText="1"/>
    </x:xf>
    <x:xf numFmtId="0" fontId="9" fillId="8" borderId="4" xfId="0" applyNumberFormat="1" applyFont="1" applyFill="1" applyBorder="1" applyAlignment="1">
      <x:alignment wrapText="1"/>
    </x:xf>
    <x:xf numFmtId="0" fontId="9" fillId="8" borderId="5" xfId="0" applyNumberFormat="1" applyFont="1" applyFill="1" applyBorder="1" applyAlignment="1">
      <x:alignment wrapText="1"/>
    </x:xf>
    <x:xf numFmtId="0" fontId="9" fillId="8" borderId="0" xfId="0" applyNumberFormat="1" applyFont="1" applyFill="1" applyBorder="1" applyAlignment="1">
      <x:alignment wrapText="1"/>
    </x:xf>
    <x:xf numFmtId="0" fontId="9" fillId="8" borderId="6" xfId="0" applyNumberFormat="1" applyFont="1" applyFill="1" applyBorder="1" applyAlignment="1">
      <x:alignment wrapText="1"/>
    </x:xf>
    <x:xf numFmtId="0" fontId="9" fillId="8" borderId="7" xfId="0" applyNumberFormat="1" applyFont="1" applyFill="1" applyBorder="1" applyAlignment="1">
      <x:alignment wrapText="1"/>
    </x:xf>
    <x:xf numFmtId="0" fontId="9" fillId="8" borderId="8" xfId="0" applyNumberFormat="1" applyFont="1" applyFill="1" applyBorder="1" applyAlignment="1">
      <x:alignment wrapText="1"/>
    </x:xf>
    <x:xf numFmtId="0" fontId="9" fillId="8" borderId="9" xfId="0" applyNumberFormat="1" applyFont="1" applyFill="1" applyBorder="1" applyAlignment="1">
      <x:alignment wrapText="1"/>
    </x:xf>
    <x:xf numFmtId="0" fontId="9" fillId="8" borderId="2" xfId="0" applyNumberFormat="1" applyFont="1" applyFill="1" applyBorder="1" applyAlignment="1">
      <x:alignment vertical="center" wrapText="1"/>
    </x:xf>
    <x:xf numFmtId="0" fontId="9" fillId="8" borderId="3" xfId="0" applyNumberFormat="1" applyFont="1" applyFill="1" applyBorder="1" applyAlignment="1">
      <x:alignment vertical="center" wrapText="1"/>
    </x:xf>
    <x:xf numFmtId="0" fontId="9" fillId="8" borderId="4" xfId="0" applyNumberFormat="1" applyFont="1" applyFill="1" applyBorder="1" applyAlignment="1">
      <x:alignment vertical="center" wrapText="1"/>
    </x:xf>
    <x:xf numFmtId="0" fontId="9" fillId="8" borderId="5" xfId="0" applyNumberFormat="1" applyFont="1" applyFill="1" applyBorder="1" applyAlignment="1">
      <x:alignment vertical="center" wrapText="1"/>
    </x:xf>
    <x:xf numFmtId="0" fontId="9" fillId="8" borderId="0" xfId="0" applyNumberFormat="1" applyFont="1" applyFill="1" applyBorder="1" applyAlignment="1">
      <x:alignment vertical="center" wrapText="1"/>
    </x:xf>
    <x:xf numFmtId="0" fontId="9" fillId="8" borderId="6" xfId="0" applyNumberFormat="1" applyFont="1" applyFill="1" applyBorder="1" applyAlignment="1">
      <x:alignment vertical="center" wrapText="1"/>
    </x:xf>
    <x:xf numFmtId="0" fontId="9" fillId="8" borderId="7" xfId="0" applyNumberFormat="1" applyFont="1" applyFill="1" applyBorder="1" applyAlignment="1">
      <x:alignment vertical="center" wrapText="1"/>
    </x:xf>
    <x:xf numFmtId="0" fontId="9" fillId="8" borderId="8" xfId="0" applyNumberFormat="1" applyFont="1" applyFill="1" applyBorder="1" applyAlignment="1">
      <x:alignment vertical="center" wrapText="1"/>
    </x:xf>
    <x:xf numFmtId="0" fontId="9" fillId="8" borderId="9" xfId="0" applyNumberFormat="1" applyFont="1" applyFill="1" applyBorder="1" applyAlignment="1">
      <x:alignment vertical="center" wrapText="1"/>
    </x:xf>
    <x:xf numFmtId="0" fontId="10" fillId="0" borderId="1" xfId="0" applyNumberFormat="1" applyFont="1" applyFill="1" applyBorder="1"/>
    <x:xf numFmtId="200" fontId="1" fillId="0" borderId="1" xfId="0" applyNumberFormat="1" applyFont="1" applyFill="1" applyBorder="1"/>
    <x:xf numFmtId="0" fontId="10" fillId="6" borderId="0" xfId="0" applyNumberFormat="1" applyFont="1" applyFill="1" applyBorder="1"/>
    <x:xf numFmtId="0" fontId="10" fillId="6" borderId="0" xfId="0" applyNumberFormat="1" applyFont="1" applyFill="1" applyBorder="1" applyAlignment="1">
      <x:alignment wrapText="1"/>
    </x:xf>
    <x:xf numFmtId="0" fontId="10" fillId="6" borderId="0" xfId="0" applyNumberFormat="1" applyFont="1" applyFill="1" applyBorder="1" applyAlignment="1">
      <x:alignment vertical="center" wrapText="1"/>
    </x:xf>
    <x:xf numFmtId="0" fontId="6" fillId="7" borderId="0" xfId="0" applyNumberFormat="1" applyFont="1" applyFill="1" applyBorder="1" applyAlignment="1">
      <x:alignment vertical="center"/>
    </x:xf>
    <x:xf numFmtId="0" fontId="11" fillId="7" borderId="0" xfId="0" applyNumberFormat="1" applyFont="1" applyFill="1" applyBorder="1"/>
    <x:xf numFmtId="0" fontId="12" fillId="7" borderId="0" xfId="0" applyNumberFormat="1" applyFont="1" applyFill="1" applyBorder="1" applyAlignment="1">
      <x:alignment vertical="center"/>
    </x:xf>
    <x:xf numFmtId="0" fontId="11" fillId="7" borderId="10" xfId="0" applyNumberFormat="1" applyFont="1" applyFill="1" applyBorder="1"/>
    <x:xf numFmtId="0" fontId="11" fillId="7" borderId="11" xfId="0" applyNumberFormat="1" applyFont="1" applyFill="1" applyBorder="1"/>
    <x:xf numFmtId="0" fontId="12" fillId="7" borderId="11" xfId="0" applyNumberFormat="1" applyFont="1" applyFill="1" applyBorder="1" applyAlignment="1">
      <x:alignment vertical="center"/>
    </x:xf>
    <x:xf numFmtId="0" fontId="11" fillId="7" borderId="12" xfId="0" applyNumberFormat="1" applyFont="1" applyFill="1" applyBorder="1"/>
    <x:xf numFmtId="0" fontId="13" fillId="0" borderId="0" xfId="0" applyNumberFormat="1" applyFont="1" applyFill="1" applyBorder="1"/>
    <x:xf numFmtId="201" fontId="11" fillId="7" borderId="11" xfId="0" applyNumberFormat="1" applyFont="1" applyFill="1" applyBorder="1"/>
    <x:xf numFmtId="202" fontId="11" fillId="7" borderId="11" xfId="0" applyNumberFormat="1" applyFont="1" applyFill="1" applyBorder="1"/>
    <x:xf numFmtId="201" fontId="11" fillId="7" borderId="12" xfId="0" applyNumberFormat="1" applyFont="1" applyFill="1" applyBorder="1"/>
    <x:xf numFmtId="201" fontId="13" fillId="0" borderId="0" xfId="0" applyNumberFormat="1" applyFont="1" applyFill="1" applyBorder="1"/>
    <x:xf numFmtId="201" fontId="11" fillId="7" borderId="10" xfId="0" applyNumberFormat="1" applyFont="1" applyFill="1" applyBorder="1"/>
    <x:xf numFmtId="202" fontId="11" fillId="7" borderId="12" xfId="0" applyNumberFormat="1" applyFont="1" applyFill="1" applyBorder="1"/>
    <x:xf numFmtId="202" fontId="11" fillId="7" borderId="10" xfId="0" applyNumberFormat="1" applyFont="1" applyFill="1" applyBorder="1"/>
    <x:xf numFmtId="203" fontId="11" fillId="7" borderId="11" xfId="0" applyNumberFormat="1" applyFont="1" applyFill="1" applyBorder="1"/>
    <x:xf numFmtId="204" fontId="11" fillId="7" borderId="12" xfId="0" applyNumberFormat="1" applyFont="1" applyFill="1" applyBorder="1"/>
    <x:xf numFmtId="201" fontId="13" fillId="9" borderId="0" xfId="0" applyNumberFormat="1" applyFont="1" applyFill="1" applyBorder="1"/>
    <x:xf numFmtId="0" fontId="11" fillId="7" borderId="13" xfId="0" applyNumberFormat="1" applyFont="1" applyFill="1" applyBorder="1"/>
    <x:xf numFmtId="201" fontId="11" fillId="7" borderId="13" xfId="0" applyNumberFormat="1" applyFont="1" applyFill="1" applyBorder="1"/>
    <x:xf numFmtId="202" fontId="11" fillId="7" borderId="13" xfId="0" applyNumberFormat="1" applyFont="1" applyFill="1" applyBorder="1"/>
    <x:xf numFmtId="0" fontId="12" fillId="7" borderId="13" xfId="0" applyNumberFormat="1" applyFont="1" applyFill="1" applyBorder="1" applyAlignment="1">
      <x:alignment vertical="center"/>
    </x:xf>
    <x:xf numFmtId="201" fontId="11" fillId="7" borderId="14" xfId="0" applyNumberFormat="1" applyFont="1" applyFill="1" applyBorder="1"/>
    <x:xf numFmtId="201" fontId="11" fillId="7" borderId="15" xfId="0" applyNumberFormat="1" applyFont="1" applyFill="1" applyBorder="1"/>
    <x:xf numFmtId="203" fontId="11" fillId="7" borderId="13" xfId="0" applyNumberFormat="1" applyFont="1" applyFill="1" applyBorder="1"/>
    <x:xf numFmtId="204" fontId="11" fillId="7" borderId="13" xfId="0" applyNumberFormat="1" applyFont="1" applyFill="1" applyBorder="1"/>
    <x:xf numFmtId="0" fontId="4" fillId="6" borderId="0" xfId="0" applyNumberFormat="1" applyFont="1" applyFill="1" applyBorder="1" applyAlignment="1">
      <x:alignment horizontal="center"/>
    </x:xf>
    <x:xf numFmtId="0" fontId="14" fillId="6" borderId="0" xfId="0" applyNumberFormat="1" applyFont="1" applyFill="1" applyBorder="1"/>
    <x:xf numFmtId="0" fontId="14" fillId="6" borderId="16" xfId="0" applyNumberFormat="1" applyFont="1" applyFill="1" applyBorder="1"/>
    <x:xf numFmtId="0" fontId="14" fillId="6" borderId="17" xfId="0" applyNumberFormat="1" applyFont="1" applyFill="1" applyBorder="1"/>
    <x:xf numFmtId="0" fontId="14" fillId="6" borderId="18" xfId="0" applyNumberFormat="1" applyFont="1" applyFill="1" applyBorder="1"/>
    <x:xf numFmtId="0" fontId="14" fillId="6" borderId="19" xfId="0" applyNumberFormat="1" applyFont="1" applyFill="1" applyBorder="1"/>
    <x:xf numFmtId="0" fontId="14" fillId="6" borderId="20" xfId="0" applyNumberFormat="1" applyFont="1" applyFill="1" applyBorder="1"/>
    <x:xf numFmtId="0" fontId="14" fillId="6" borderId="21" xfId="0" applyNumberFormat="1" applyFont="1" applyFill="1" applyBorder="1"/>
    <x:xf numFmtId="0" fontId="14" fillId="6" borderId="22" xfId="0" applyNumberFormat="1" applyFont="1" applyFill="1" applyBorder="1"/>
    <x:xf numFmtId="0" fontId="14" fillId="6" borderId="23" xfId="0" applyNumberFormat="1" applyFont="1" applyFill="1" applyBorder="1"/>
    <x:xf numFmtId="0" fontId="14" fillId="6" borderId="16" xfId="0" applyNumberFormat="1" applyFont="1" applyFill="1" applyBorder="1" applyAlignment="1">
      <x:alignment wrapText="1"/>
    </x:xf>
    <x:xf numFmtId="0" fontId="14" fillId="6" borderId="17" xfId="0" applyNumberFormat="1" applyFont="1" applyFill="1" applyBorder="1" applyAlignment="1">
      <x:alignment wrapText="1"/>
    </x:xf>
    <x:xf numFmtId="0" fontId="14" fillId="6" borderId="18" xfId="0" applyNumberFormat="1" applyFont="1" applyFill="1" applyBorder="1" applyAlignment="1">
      <x:alignment wrapText="1"/>
    </x:xf>
    <x:xf numFmtId="0" fontId="14" fillId="6" borderId="19" xfId="0" applyNumberFormat="1" applyFont="1" applyFill="1" applyBorder="1" applyAlignment="1">
      <x:alignment wrapText="1"/>
    </x:xf>
    <x:xf numFmtId="0" fontId="14" fillId="6" borderId="0" xfId="0" applyNumberFormat="1" applyFont="1" applyFill="1" applyBorder="1" applyAlignment="1">
      <x:alignment wrapText="1"/>
    </x:xf>
    <x:xf numFmtId="0" fontId="14" fillId="6" borderId="20" xfId="0" applyNumberFormat="1" applyFont="1" applyFill="1" applyBorder="1" applyAlignment="1">
      <x:alignment wrapText="1"/>
    </x:xf>
    <x:xf numFmtId="0" fontId="14" fillId="6" borderId="21" xfId="0" applyNumberFormat="1" applyFont="1" applyFill="1" applyBorder="1" applyAlignment="1">
      <x:alignment wrapText="1"/>
    </x:xf>
    <x:xf numFmtId="0" fontId="14" fillId="6" borderId="22" xfId="0" applyNumberFormat="1" applyFont="1" applyFill="1" applyBorder="1" applyAlignment="1">
      <x:alignment wrapText="1"/>
    </x:xf>
    <x:xf numFmtId="0" fontId="14" fillId="6" borderId="23" xfId="0" applyNumberFormat="1" applyFont="1" applyFill="1" applyBorder="1" applyAlignment="1">
      <x:alignment wrapText="1"/>
    </x:xf>
    <x:xf numFmtId="0" fontId="14" fillId="6" borderId="16" xfId="0" applyNumberFormat="1" applyFont="1" applyFill="1" applyBorder="1" applyAlignment="1">
      <x:alignment vertical="center" wrapText="1"/>
    </x:xf>
    <x:xf numFmtId="0" fontId="14" fillId="6" borderId="17" xfId="0" applyNumberFormat="1" applyFont="1" applyFill="1" applyBorder="1" applyAlignment="1">
      <x:alignment vertical="center" wrapText="1"/>
    </x:xf>
    <x:xf numFmtId="0" fontId="14" fillId="6" borderId="18" xfId="0" applyNumberFormat="1" applyFont="1" applyFill="1" applyBorder="1" applyAlignment="1">
      <x:alignment vertical="center" wrapText="1"/>
    </x:xf>
    <x:xf numFmtId="0" fontId="14" fillId="6" borderId="19" xfId="0" applyNumberFormat="1" applyFont="1" applyFill="1" applyBorder="1" applyAlignment="1">
      <x:alignment vertical="center" wrapText="1"/>
    </x:xf>
    <x:xf numFmtId="0" fontId="14" fillId="6" borderId="0" xfId="0" applyNumberFormat="1" applyFont="1" applyFill="1" applyBorder="1" applyAlignment="1">
      <x:alignment vertical="center" wrapText="1"/>
    </x:xf>
    <x:xf numFmtId="0" fontId="14" fillId="6" borderId="20" xfId="0" applyNumberFormat="1" applyFont="1" applyFill="1" applyBorder="1" applyAlignment="1">
      <x:alignment vertical="center" wrapText="1"/>
    </x:xf>
    <x:xf numFmtId="0" fontId="14" fillId="6" borderId="21" xfId="0" applyNumberFormat="1" applyFont="1" applyFill="1" applyBorder="1" applyAlignment="1">
      <x:alignment vertical="center" wrapText="1"/>
    </x:xf>
    <x:xf numFmtId="0" fontId="14" fillId="6" borderId="22" xfId="0" applyNumberFormat="1" applyFont="1" applyFill="1" applyBorder="1" applyAlignment="1">
      <x:alignment vertical="center" wrapText="1"/>
    </x:xf>
    <x:xf numFmtId="0" fontId="14" fillId="6" borderId="23" xfId="0" applyNumberFormat="1" applyFont="1" applyFill="1" applyBorder="1" applyAlignment="1">
      <x:alignment vertical="center" wrapText="1"/>
    </x:xf>
    <x:xf numFmtId="203" fontId="13" fillId="0" borderId="0" xfId="0" applyNumberFormat="1" applyFont="1" applyFill="1" applyBorder="1"/>
    <x:xf numFmtId="202" fontId="13" fillId="0" borderId="0" xfId="0" applyNumberFormat="1" applyFont="1" applyFill="1" applyBorder="1"/>
    <x:xf numFmtId="205" fontId="13" fillId="0" borderId="0" xfId="0" applyNumberFormat="1" applyFont="1" applyFill="1" applyBorder="1"/>
    <x:xf numFmtId="204" fontId="13" fillId="0" borderId="0" xfId="0" applyNumberFormat="1" applyFont="1" applyFill="1" applyBorder="1"/>
    <x:xf numFmtId="204" fontId="14" fillId="6" borderId="19" xfId="0" applyNumberFormat="1" applyFont="1" applyFill="1" applyBorder="1" applyAlignment="1">
      <x:alignment vertical="center" wrapText="1"/>
    </x:xf>
    <x:xf numFmtId="203" fontId="14" fillId="6" borderId="19" xfId="0" applyNumberFormat="1" applyFont="1" applyFill="1" applyBorder="1" applyAlignment="1">
      <x:alignment vertical="center" wrapText="1"/>
    </x:xf>
    <x:xf numFmtId="206" fontId="1" fillId="0" borderId="0" xfId="0" applyNumberFormat="1" applyFont="1" applyFill="1" applyBorder="1"/>
    <x:xf numFmtId="201" fontId="1" fillId="0" borderId="0" xfId="0" applyNumberFormat="1" applyFont="1" applyFill="1" applyBorder="1"/>
    <x:xf numFmtId="206" fontId="1" fillId="0" borderId="1" xfId="0" applyNumberFormat="1" applyFont="1" applyFill="1" applyBorder="1"/>
    <x:xf numFmtId="201" fontId="1" fillId="0" borderId="1" xfId="0" applyNumberFormat="1" applyFont="1" applyFill="1" applyBorder="1"/>
    <x:xf numFmtId="0" fontId="1" fillId="2" borderId="1" xfId="0" applyNumberFormat="1" applyFont="1" applyFill="1" applyBorder="1"/>
    <x:xf numFmtId="206" fontId="1" fillId="2" borderId="1" xfId="0" applyNumberFormat="1" applyFont="1" applyFill="1" applyBorder="1"/>
    <x:xf numFmtId="0" fontId="15" fillId="2" borderId="1" xfId="0" applyNumberFormat="1" applyFont="1" applyFill="1" applyBorder="1"/>
    <x:xf numFmtId="206" fontId="15" fillId="2" borderId="1" xfId="0" applyNumberFormat="1" applyFont="1" applyFill="1" applyBorder="1"/>
    <x:xf numFmtId="0" fontId="15" fillId="2" borderId="1" xfId="0" applyNumberFormat="1" applyFont="1" applyFill="1" applyBorder="1" applyAlignment="1">
      <x:alignment horizontal="center"/>
    </x:xf>
    <x:xf numFmtId="206" fontId="15" fillId="2" borderId="1" xfId="0" applyNumberFormat="1" applyFont="1" applyFill="1" applyBorder="1" applyAlignment="1">
      <x:alignment horizontal="center"/>
    </x:xf>
    <x:xf numFmtId="0" fontId="1" fillId="6" borderId="1" xfId="0" applyNumberFormat="1" applyFont="1" applyFill="1" applyBorder="1"/>
    <x:xf numFmtId="206" fontId="1" fillId="6" borderId="1" xfId="0" applyNumberFormat="1" applyFont="1" applyFill="1" applyBorder="1"/>
    <x:xf numFmtId="0" fontId="10" fillId="6" borderId="1" xfId="0" applyNumberFormat="1" applyFont="1" applyFill="1" applyBorder="1"/>
    <x:xf numFmtId="206" fontId="10" fillId="6" borderId="1" xfId="0" applyNumberFormat="1" applyFont="1" applyFill="1" applyBorder="1"/>
    <x:xf numFmtId="0" fontId="10" fillId="6" borderId="1" xfId="0" applyNumberFormat="1" applyFont="1" applyFill="1" applyBorder="1" applyAlignment="1">
      <x:alignment horizontal="center"/>
    </x:xf>
    <x:xf numFmtId="206" fontId="10" fillId="6" borderId="1" xfId="0" applyNumberFormat="1" applyFont="1" applyFill="1" applyBorder="1" applyAlignment="1">
      <x:alignment horizontal="center"/>
    </x:xf>
    <x:xf numFmtId="0" fontId="15" fillId="2" borderId="0" xfId="0" applyNumberFormat="1" applyFont="1" applyFill="1" applyBorder="1"/>
    <x:xf numFmtId="0" fontId="15" fillId="2" borderId="0" xfId="0" applyNumberFormat="1" applyFont="1" applyFill="1" applyBorder="1" applyAlignment="1">
      <x:alignment horizontal="center"/>
    </x:xf>
    <x:xf numFmtId="0" fontId="1" fillId="0" borderId="24" xfId="0" applyNumberFormat="1" applyFont="1" applyFill="1" applyBorder="1"/>
    <x:xf numFmtId="0" fontId="1" fillId="6" borderId="24" xfId="0" applyNumberFormat="1" applyFont="1" applyFill="1" applyBorder="1"/>
    <x:xf numFmtId="0" fontId="10" fillId="6" borderId="24" xfId="0" applyNumberFormat="1" applyFont="1" applyFill="1" applyBorder="1"/>
    <x:xf numFmtId="0" fontId="1" fillId="0" borderId="1" xfId="0" applyNumberFormat="1" applyFont="1" applyFill="1" applyBorder="1" applyAlignment="1">
      <x:alignment wrapText="1"/>
    </x:xf>
  </x:cellXfs>
  <x:cellStyles count="1">
    <x:cellStyle name="Normal" xfId="0"/>
  </x:cellStyles>
  <x:dxfs count="14">
    <x:dxf>
      <x:font>
        <x:b/>
        <x:color rgb="FF15803D"/>
      </x:font>
      <x:fill>
        <x:patternFill patternType="solid">
          <x:bgColor rgb="FFDCFCE7"/>
        </x:patternFill>
      </x:fill>
    </x:dxf>
    <x:dxf>
      <x:font>
        <x:b/>
        <x:color rgb="FFB45309"/>
      </x:font>
      <x:fill>
        <x:patternFill patternType="solid">
          <x:bgColor rgb="FFFEF3C7"/>
        </x:patternFill>
      </x:fill>
    </x:dxf>
    <x:dxf>
      <x:font>
        <x:b/>
        <x:color rgb="FFB91C1C"/>
      </x:font>
      <x:fill>
        <x:patternFill patternType="solid">
          <x:bgColor rgb="FFFEE2E2"/>
        </x:patternFill>
      </x:fill>
    </x:dxf>
    <x:dxf>
      <x:font>
        <x:b/>
        <x:color rgb="FF15803D"/>
      </x:font>
      <x:fill>
        <x:patternFill patternType="solid">
          <x:bgColor rgb="FFDCFCE7"/>
        </x:patternFill>
      </x:fill>
    </x:dxf>
    <x:dxf>
      <x:font>
        <x:b/>
        <x:color rgb="FFB45309"/>
      </x:font>
      <x:fill>
        <x:patternFill patternType="solid">
          <x:bgColor rgb="FFFEF3C7"/>
        </x:patternFill>
      </x:fill>
    </x:dxf>
    <x:dxf>
      <x:font>
        <x:b/>
        <x:color rgb="FFB91C1C"/>
      </x:font>
      <x:fill>
        <x:patternFill patternType="solid">
          <x:bgColor rgb="FFFEE2E2"/>
        </x:patternFill>
      </x:fill>
    </x:dxf>
    <x:dxf>
      <x:font>
        <x:b/>
        <x:color rgb="FFB91C1C"/>
      </x:font>
      <x:fill>
        <x:patternFill patternType="solid">
          <x:bgColor rgb="FFFEE2E2"/>
        </x:patternFill>
      </x:fill>
    </x:dxf>
    <x:dxf>
      <x:font>
        <x:color rgb="FFB45309"/>
      </x:font>
      <x:fill>
        <x:patternFill patternType="solid">
          <x:bgColor rgb="FFFEF3C7"/>
        </x:patternFill>
      </x:fill>
    </x:dxf>
    <x:dxf>
      <x:font>
        <x:color rgb="FF15803D"/>
      </x:font>
      <x:fill>
        <x:patternFill patternType="solid">
          <x:bgColor rgb="FFDCFCE7"/>
        </x:patternFill>
      </x:fill>
    </x:dxf>
    <x:dxf>
      <x:font>
        <x:b/>
        <x:color rgb="FFB91C1C"/>
      </x:font>
      <x:fill>
        <x:patternFill patternType="solid">
          <x:bgColor rgb="FFFEE2E2"/>
        </x:patternFill>
      </x:fill>
    </x:dxf>
    <x:dxf>
      <x:font>
        <x:b/>
        <x:color rgb="FF15803D"/>
      </x:font>
      <x:fill>
        <x:patternFill patternType="solid">
          <x:bgColor rgb="FFDCFCE7"/>
        </x:patternFill>
      </x:fill>
    </x:dxf>
    <x:dxf>
      <x:font>
        <x:b/>
        <x:color rgb="FFB91C1C"/>
      </x:font>
      <x:fill>
        <x:patternFill patternType="solid">
          <x:bgColor rgb="FFFEE2E2"/>
        </x:patternFill>
      </x:fill>
    </x:dxf>
    <x:dxf>
      <x:font>
        <x:b/>
        <x:color rgb="FF15803D"/>
      </x:font>
      <x:fill>
        <x:patternFill patternType="solid">
          <x:bgColor rgb="FFDCFCE7"/>
        </x:patternFill>
      </x:fill>
    </x:dxf>
    <x:dxf>
      <x:font>
        <x:b/>
        <x:color rgb="FFB91C1C"/>
      </x:font>
      <x:fill>
        <x:patternFill patternType="solid">
          <x:bgColor rgb="FFFEE2E2"/>
        </x:patternFill>
      </x:fill>
    </x:dxf>
  </x:dxfs>
</x:styleSheet>
</file>

<file path=xl/_rels/workbook.xml.rels>&#65279;<?xml version="1.0" encoding="utf-8"?><Relationships xmlns="http://schemas.openxmlformats.org/package/2006/relationships"><Relationship Type="http://schemas.openxmlformats.org/officeDocument/2006/relationships/styles" Target="/xl/styles.xml" Id="R54a6cbec84cd4421" /><Relationship Type="http://schemas.openxmlformats.org/officeDocument/2006/relationships/theme" Target="/xl/theme/theme1.xml" Id="R038fbfc4f3e94c48" /><Relationship Type="http://schemas.openxmlformats.org/officeDocument/2006/relationships/sharedStrings" Target="/xl/sharedStrings.xml" Id="Rd31aa4fb05264f96" /><Relationship Type="http://schemas.openxmlformats.org/officeDocument/2006/relationships/worksheet" Target="/xl/worksheets/sheet1.xml" Id="R75b5ef58e6a74152" /><Relationship Type="http://schemas.openxmlformats.org/officeDocument/2006/relationships/worksheet" Target="/xl/worksheets/sheet2.xml" Id="R71b0e990bbb54cb5" /><Relationship Type="http://schemas.openxmlformats.org/officeDocument/2006/relationships/worksheet" Target="/xl/worksheets/sheet3.xml" Id="Rdc230372cc714f22" /><Relationship Type="http://schemas.openxmlformats.org/officeDocument/2006/relationships/worksheet" Target="/xl/worksheets/sheet4.xml" Id="Re9e93c6111764722" /><Relationship Type="http://schemas.openxmlformats.org/officeDocument/2006/relationships/worksheet" Target="/xl/worksheets/sheet5.xml" Id="Ree46cbba01f644da" /></Relationships>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sheet1.xml><?xml version="1.0" encoding="utf-8"?>
<x:worksheet xmlns:x="http://schemas.openxmlformats.org/spreadsheetml/2006/main">
  <x:sheetViews>
    <x:sheetView showGridLines="0" workbookViewId="0"/>
  </x:sheetViews>
  <x:sheetFormatPr defaultRowHeight="15"/>
  <x:cols>
    <x:col min="1" max="1" width="16" hidden="0" customWidth="1"/>
    <x:col min="2" max="2" width="34" hidden="0" customWidth="1"/>
    <x:col min="3" max="3" width="16" hidden="0" customWidth="1"/>
    <x:col min="4" max="4" width="26" hidden="0" customWidth="1"/>
    <x:col min="5" max="5" width="16" hidden="0" customWidth="1"/>
    <x:col min="6" max="6" width="16" hidden="0" customWidth="1"/>
    <x:col min="7" max="7" width="16" hidden="0" customWidth="1"/>
    <x:col min="8" max="8" width="16" hidden="0" customWidth="1"/>
  </x:cols>
  <x:sheetData>
    <x:row r="1" ht="34" customHeight="1">
      <x:c r="A1" s="5" t="str">
        <x:v>DealCheck Pro</x:v>
      </x:c>
      <x:c r="B1" s="5"/>
      <x:c r="C1" s="5"/>
      <x:c r="D1" s="5"/>
      <x:c r="E1" s="5"/>
      <x:c r="F1" s="5"/>
      <x:c r="G1" s="5"/>
      <x:c r="H1" s="5"/>
      <x:c r="I1" s="1"/>
      <x:c r="J1" s="1"/>
      <x:c r="K1" s="1"/>
      <x:c r="L1" s="1"/>
    </x:row>
    <x:row r="2" ht="28" customHeight="1">
      <x:c r="A2" s="8" t="str">
        <x:v>A five-minute residential real-estate decision system — enter assumptions once, compare strategies, stress the deal, and know what must change.</x:v>
      </x:c>
      <x:c r="B2" s="8"/>
      <x:c r="C2" s="8"/>
      <x:c r="D2" s="8"/>
      <x:c r="E2" s="8"/>
      <x:c r="F2" s="8"/>
      <x:c r="G2" s="8"/>
      <x:c r="H2" s="8"/>
      <x:c r="I2" s="1"/>
      <x:c r="J2" s="1"/>
      <x:c r="K2" s="1"/>
      <x:c r="L2" s="1"/>
    </x:row>
    <x:row r="3">
      <x:c r="A3" s="1"/>
      <x:c r="B3" s="1"/>
      <x:c r="C3" s="1"/>
      <x:c r="D3" s="1"/>
      <x:c r="E3" s="1"/>
      <x:c r="F3" s="1"/>
      <x:c r="G3" s="1"/>
      <x:c r="H3" s="1"/>
      <x:c r="I3" s="1"/>
      <x:c r="J3" s="1"/>
      <x:c r="K3" s="1"/>
      <x:c r="L3" s="1"/>
    </x:row>
    <x:row r="4">
      <x:c r="A4" s="11" t="str">
        <x:v>QUICK START — FOR A TIRED 12-YEAR-OLD</x:v>
      </x:c>
      <x:c r="B4" s="11"/>
      <x:c r="C4" s="11"/>
      <x:c r="D4" s="11"/>
      <x:c r="E4" s="11"/>
      <x:c r="F4" s="11"/>
      <x:c r="G4" s="11"/>
      <x:c r="H4" s="11"/>
      <x:c r="I4" s="1"/>
      <x:c r="J4" s="1"/>
      <x:c r="K4" s="1"/>
      <x:c r="L4" s="1"/>
    </x:row>
    <x:row r="5">
      <x:c r="A5" s="1"/>
      <x:c r="B5" s="1"/>
      <x:c r="C5" s="1"/>
      <x:c r="D5" s="1"/>
      <x:c r="E5" s="1"/>
      <x:c r="F5" s="1"/>
      <x:c r="G5" s="1"/>
      <x:c r="H5" s="1"/>
      <x:c r="I5" s="1"/>
      <x:c r="J5" s="1"/>
      <x:c r="K5" s="1"/>
      <x:c r="L5" s="1"/>
    </x:row>
    <x:row r="6" ht="30" customHeight="1">
      <x:c r="A6" s="19" t="str">
        <x:v>1</x:v>
      </x:c>
      <x:c r="B6" s="20" t="str">
        <x:v>Open Property Input</x:v>
      </x:c>
      <x:c r="C6" s="1"/>
      <x:c r="D6" s="1"/>
      <x:c r="E6" s="1"/>
      <x:c r="F6" s="1"/>
      <x:c r="G6" s="1"/>
      <x:c r="H6" s="1"/>
      <x:c r="I6" s="1"/>
      <x:c r="J6" s="1"/>
      <x:c r="K6" s="1"/>
      <x:c r="L6" s="1"/>
    </x:row>
    <x:row r="7" ht="30" customHeight="1">
      <x:c r="A7" s="19" t="str">
        <x:v>2</x:v>
      </x:c>
      <x:c r="B7" s="20" t="str">
        <x:v>Change only yellow cells</x:v>
      </x:c>
      <x:c r="C7" s="1"/>
      <x:c r="D7" s="1"/>
      <x:c r="E7" s="1"/>
      <x:c r="F7" s="1"/>
      <x:c r="G7" s="1"/>
      <x:c r="H7" s="1"/>
      <x:c r="I7" s="1"/>
      <x:c r="J7" s="1"/>
      <x:c r="K7" s="1"/>
      <x:c r="L7" s="1"/>
    </x:row>
    <x:row r="8" ht="30" customHeight="1">
      <x:c r="A8" s="19" t="str">
        <x:v>3</x:v>
      </x:c>
      <x:c r="B8" s="20" t="str">
        <x:v>Open Analysis for the decision</x:v>
      </x:c>
      <x:c r="C8" s="1"/>
      <x:c r="D8" s="1"/>
      <x:c r="E8" s="1"/>
      <x:c r="F8" s="1"/>
      <x:c r="G8" s="1"/>
      <x:c r="H8" s="1"/>
      <x:c r="I8" s="1"/>
      <x:c r="J8" s="1"/>
      <x:c r="K8" s="1"/>
      <x:c r="L8" s="1"/>
    </x:row>
    <x:row r="9" ht="30" customHeight="1">
      <x:c r="A9" s="19" t="str">
        <x:v>4</x:v>
      </x:c>
      <x:c r="B9" s="20" t="str">
        <x:v>Open Stress Test for downside</x:v>
      </x:c>
      <x:c r="C9" s="1"/>
      <x:c r="D9" s="1"/>
      <x:c r="E9" s="1"/>
      <x:c r="F9" s="1"/>
      <x:c r="G9" s="1"/>
      <x:c r="H9" s="1"/>
      <x:c r="I9" s="1"/>
      <x:c r="J9" s="1"/>
      <x:c r="K9" s="1"/>
      <x:c r="L9" s="1"/>
    </x:row>
    <x:row r="10" ht="30" customHeight="1">
      <x:c r="A10" s="19" t="str">
        <x:v>5</x:v>
      </x:c>
      <x:c r="B10" s="20" t="str">
        <x:v>Make sure Checks says PASS</x:v>
      </x:c>
      <x:c r="C10" s="1"/>
      <x:c r="D10" s="1"/>
      <x:c r="E10" s="1"/>
      <x:c r="F10" s="1"/>
      <x:c r="G10" s="1"/>
      <x:c r="H10" s="1"/>
      <x:c r="I10" s="1"/>
      <x:c r="J10" s="1"/>
      <x:c r="K10" s="1"/>
      <x:c r="L10" s="1"/>
    </x:row>
    <x:row r="11">
      <x:c r="A11" s="1"/>
      <x:c r="B11" s="1"/>
      <x:c r="C11" s="1"/>
      <x:c r="D11" s="1"/>
      <x:c r="E11" s="1"/>
      <x:c r="F11" s="1"/>
      <x:c r="G11" s="1"/>
      <x:c r="H11" s="1"/>
      <x:c r="I11" s="1"/>
      <x:c r="J11" s="1"/>
      <x:c r="K11" s="1"/>
      <x:c r="L11" s="1"/>
    </x:row>
    <x:row r="12">
      <x:c r="A12" s="1"/>
      <x:c r="B12" s="1"/>
      <x:c r="C12" s="1"/>
      <x:c r="D12" s="1"/>
      <x:c r="E12" s="1"/>
      <x:c r="F12" s="1"/>
      <x:c r="G12" s="1"/>
      <x:c r="H12" s="1"/>
      <x:c r="I12" s="1"/>
      <x:c r="J12" s="1"/>
      <x:c r="K12" s="1"/>
      <x:c r="L12" s="1"/>
    </x:row>
    <x:row r="13" ht="22" customHeight="1">
      <x:c r="A13" s="22" t="str">
        <x:v>What the colors mean</x:v>
      </x:c>
      <x:c r="B13" s="22"/>
      <x:c r="C13" s="22"/>
      <x:c r="D13" s="22"/>
      <x:c r="E13" s="22"/>
      <x:c r="F13" s="22"/>
      <x:c r="G13" s="22"/>
      <x:c r="H13" s="22"/>
      <x:c r="I13" s="1"/>
      <x:c r="J13" s="1"/>
      <x:c r="K13" s="1"/>
      <x:c r="L13" s="1"/>
    </x:row>
    <x:row r="14">
      <x:c r="A14" s="1"/>
      <x:c r="B14" s="1"/>
      <x:c r="C14" s="1"/>
      <x:c r="D14" s="1"/>
      <x:c r="E14" s="1"/>
      <x:c r="F14" s="1"/>
      <x:c r="G14" s="1"/>
      <x:c r="H14" s="1"/>
      <x:c r="I14" s="1"/>
      <x:c r="J14" s="1"/>
      <x:c r="K14" s="1"/>
      <x:c r="L14" s="1"/>
    </x:row>
    <x:row r="15">
      <x:c r="A15" s="26" t="str">
        <x:v>Yellow + blue text</x:v>
      </x:c>
      <x:c r="B15" s="27" t="str">
        <x:v>You may edit it</x:v>
      </x:c>
      <x:c r="C15" s="28" t="str">
        <x:v>Black text</x:v>
      </x:c>
      <x:c r="D15" s="27" t="str">
        <x:v>Formula — do not type over it</x:v>
      </x:c>
      <x:c r="E15" s="1"/>
      <x:c r="F15" s="1"/>
      <x:c r="G15" s="1"/>
      <x:c r="H15" s="1"/>
      <x:c r="I15" s="1"/>
      <x:c r="J15" s="1"/>
      <x:c r="K15" s="1"/>
      <x:c r="L15" s="1"/>
    </x:row>
    <x:row r="16">
      <x:c r="A16" s="26" t="str">
        <x:v>Green text</x:v>
      </x:c>
      <x:c r="B16" s="27" t="str">
        <x:v>Link to another sheet</x:v>
      </x:c>
      <x:c r="C16" s="28" t="str">
        <x:v>Green status</x:v>
      </x:c>
      <x:c r="D16" s="27" t="str">
        <x:v>The deal/check passed</x:v>
      </x:c>
      <x:c r="E16" s="1"/>
      <x:c r="F16" s="1"/>
      <x:c r="G16" s="1"/>
      <x:c r="H16" s="1"/>
      <x:c r="I16" s="1"/>
      <x:c r="J16" s="1"/>
      <x:c r="K16" s="1"/>
      <x:c r="L16" s="1"/>
    </x:row>
    <x:row r="17">
      <x:c r="A17" s="26" t="str">
        <x:v>Amber status</x:v>
      </x:c>
      <x:c r="B17" s="27" t="str">
        <x:v>Review or negotiate</x:v>
      </x:c>
      <x:c r="C17" s="28" t="str">
        <x:v>Red status</x:v>
      </x:c>
      <x:c r="D17" s="27" t="str">
        <x:v>Stop and fix the assumption</x:v>
      </x:c>
      <x:c r="E17" s="1"/>
      <x:c r="F17" s="1"/>
      <x:c r="G17" s="1"/>
      <x:c r="H17" s="1"/>
      <x:c r="I17" s="1"/>
      <x:c r="J17" s="1"/>
      <x:c r="K17" s="1"/>
      <x:c r="L17" s="1"/>
    </x:row>
    <x:row r="18">
      <x:c r="A18" s="26" t="str">
        <x:v>Blank input</x:v>
      </x:c>
      <x:c r="B18" s="27" t="str">
        <x:v>Not entered yet</x:v>
      </x:c>
      <x:c r="C18" s="28" t="str">
        <x:v>N/A</x:v>
      </x:c>
      <x:c r="D18" s="27" t="str">
        <x:v>A metric is not applicable</x:v>
      </x:c>
      <x:c r="E18" s="1"/>
      <x:c r="F18" s="1"/>
      <x:c r="G18" s="1"/>
      <x:c r="H18" s="1"/>
      <x:c r="I18" s="1"/>
      <x:c r="J18" s="1"/>
      <x:c r="K18" s="1"/>
      <x:c r="L18" s="1"/>
    </x:row>
    <x:row r="19">
      <x:c r="A19" s="1"/>
      <x:c r="B19" s="1"/>
      <x:c r="C19" s="1"/>
      <x:c r="D19" s="1"/>
      <x:c r="E19" s="1"/>
      <x:c r="F19" s="1"/>
      <x:c r="G19" s="1"/>
      <x:c r="H19" s="1"/>
      <x:c r="I19" s="1"/>
      <x:c r="J19" s="1"/>
      <x:c r="K19" s="1"/>
      <x:c r="L19" s="1"/>
    </x:row>
    <x:row r="20">
      <x:c r="A20" s="1"/>
      <x:c r="B20" s="1"/>
      <x:c r="C20" s="1"/>
      <x:c r="D20" s="1"/>
      <x:c r="E20" s="1"/>
      <x:c r="F20" s="1"/>
      <x:c r="G20" s="1"/>
      <x:c r="H20" s="1"/>
      <x:c r="I20" s="1"/>
      <x:c r="J20" s="1"/>
      <x:c r="K20" s="1"/>
      <x:c r="L20" s="1"/>
    </x:row>
    <x:row r="21" ht="24" customHeight="1">
      <x:c r="A21" s="48" t="str">
        <x:v>IMPORTANT: This workbook is an analysis aid, not an appraisal, inspection, title report, tax opinion, legal opinion, lending commitment, or guarantee of profit. Verify rent, repairs, financing, insurance, taxes, permits, title, HOA rules, and resale assumptions with qualified professionals before committing money.</x:v>
      </x:c>
      <x:c r="B21" s="49"/>
      <x:c r="C21" s="49"/>
      <x:c r="D21" s="49"/>
      <x:c r="E21" s="49"/>
      <x:c r="F21" s="49"/>
      <x:c r="G21" s="49"/>
      <x:c r="H21" s="50"/>
      <x:c r="I21" s="1"/>
      <x:c r="J21" s="1"/>
      <x:c r="K21" s="1"/>
      <x:c r="L21" s="1"/>
    </x:row>
    <x:row r="22" ht="24" customHeight="1">
      <x:c r="A22" s="51"/>
      <x:c r="B22" s="52"/>
      <x:c r="C22" s="52"/>
      <x:c r="D22" s="52"/>
      <x:c r="E22" s="52"/>
      <x:c r="F22" s="52"/>
      <x:c r="G22" s="52"/>
      <x:c r="H22" s="53"/>
      <x:c r="I22" s="1"/>
      <x:c r="J22" s="1"/>
      <x:c r="K22" s="1"/>
      <x:c r="L22" s="1"/>
    </x:row>
    <x:row r="23" ht="24" customHeight="1">
      <x:c r="A23" s="51"/>
      <x:c r="B23" s="52"/>
      <x:c r="C23" s="52"/>
      <x:c r="D23" s="52"/>
      <x:c r="E23" s="52"/>
      <x:c r="F23" s="52"/>
      <x:c r="G23" s="52"/>
      <x:c r="H23" s="53"/>
      <x:c r="I23" s="1"/>
      <x:c r="J23" s="1"/>
      <x:c r="K23" s="1"/>
      <x:c r="L23" s="1"/>
    </x:row>
    <x:row r="24" ht="24" customHeight="1">
      <x:c r="A24" s="54"/>
      <x:c r="B24" s="55"/>
      <x:c r="C24" s="55"/>
      <x:c r="D24" s="55"/>
      <x:c r="E24" s="55"/>
      <x:c r="F24" s="55"/>
      <x:c r="G24" s="55"/>
      <x:c r="H24" s="56"/>
      <x:c r="I24" s="1"/>
      <x:c r="J24" s="1"/>
      <x:c r="K24" s="1"/>
      <x:c r="L24" s="1"/>
    </x:row>
    <x:row r="25">
      <x:c r="A25" s="1"/>
      <x:c r="B25" s="1"/>
      <x:c r="C25" s="1"/>
      <x:c r="D25" s="1"/>
      <x:c r="E25" s="1"/>
      <x:c r="F25" s="1"/>
      <x:c r="G25" s="1"/>
      <x:c r="H25" s="1"/>
      <x:c r="I25" s="1"/>
      <x:c r="J25" s="1"/>
      <x:c r="K25" s="1"/>
      <x:c r="L25" s="1"/>
    </x:row>
    <x:row r="26">
      <x:c r="A26" s="1"/>
      <x:c r="B26" s="1"/>
      <x:c r="C26" s="1"/>
      <x:c r="D26" s="1"/>
      <x:c r="E26" s="1"/>
      <x:c r="F26" s="1"/>
      <x:c r="G26" s="1"/>
      <x:c r="H26" s="1"/>
      <x:c r="I26" s="1"/>
      <x:c r="J26" s="1"/>
      <x:c r="K26" s="1"/>
      <x:c r="L26" s="1"/>
    </x:row>
    <x:row r="27">
      <x:c r="A27" s="57" t="str">
        <x:v>Version</x:v>
      </x:c>
      <x:c r="B27" s="27" t="str">
        <x:v>1.0</x:v>
      </x:c>
      <x:c r="C27" s="57" t="str">
        <x:v>Model date</x:v>
      </x:c>
      <x:c r="D27" s="58" t="n">
        <x:v>46253</x:v>
      </x:c>
      <x:c r="E27" s="1"/>
      <x:c r="F27" s="1"/>
      <x:c r="G27" s="1"/>
      <x:c r="H27" s="1"/>
      <x:c r="I27" s="1"/>
      <x:c r="J27" s="1"/>
      <x:c r="K27" s="1"/>
      <x:c r="L27" s="1"/>
    </x:row>
    <x:row r="28">
      <x:c r="A28" s="57" t="str">
        <x:v>Author</x:v>
      </x:c>
      <x:c r="B28" s="27" t="str">
        <x:v>Kohron Burton</x:v>
      </x:c>
      <x:c r="C28" s="57" t="str">
        <x:v>Currency</x:v>
      </x:c>
      <x:c r="D28" s="27" t="str">
        <x:v>USD</x:v>
      </x:c>
      <x:c r="E28" s="1"/>
      <x:c r="F28" s="1"/>
      <x:c r="G28" s="1"/>
      <x:c r="H28" s="1"/>
      <x:c r="I28" s="1"/>
      <x:c r="J28" s="1"/>
      <x:c r="K28" s="1"/>
      <x:c r="L28" s="1"/>
    </x:row>
    <x:row r="29">
      <x:c r="A29" s="57" t="str">
        <x:v>Model type</x:v>
      </x:c>
      <x:c r="B29" s="27" t="str">
        <x:v>Residential deal screening</x:v>
      </x:c>
      <x:c r="C29" s="57" t="str">
        <x:v>Time basis</x:v>
      </x:c>
      <x:c r="D29" s="27" t="str">
        <x:v>Annual / monthly</x:v>
      </x:c>
      <x:c r="E29" s="1"/>
      <x:c r="F29" s="1"/>
      <x:c r="G29" s="1"/>
      <x:c r="H29" s="1"/>
      <x:c r="I29" s="1"/>
      <x:c r="J29" s="1"/>
      <x:c r="K29" s="1"/>
      <x:c r="L29" s="1"/>
    </x:row>
    <x:row r="30">
      <x:c r="A30" s="57" t="str">
        <x:v>Compatibility</x:v>
      </x:c>
      <x:c r="B30" s="27" t="str">
        <x:v>Excel .xlsx</x:v>
      </x:c>
      <x:c r="C30" s="57" t="str">
        <x:v>Status</x:v>
      </x:c>
      <x:c r="D30" s="27" t="str">
        <x:v>Production-ready template</x:v>
      </x:c>
      <x:c r="E30" s="1"/>
      <x:c r="F30" s="1"/>
      <x:c r="G30" s="1"/>
      <x:c r="H30" s="1"/>
      <x:c r="I30" s="1"/>
      <x:c r="J30" s="1"/>
      <x:c r="K30" s="1"/>
      <x:c r="L30" s="1"/>
    </x:row>
    <x:row r="31">
      <x:c r="A31" s="1"/>
      <x:c r="B31" s="1"/>
      <x:c r="C31" s="1"/>
      <x:c r="D31" s="1"/>
      <x:c r="E31" s="1"/>
      <x:c r="F31" s="1"/>
      <x:c r="G31" s="1"/>
      <x:c r="H31" s="1"/>
      <x:c r="I31" s="1"/>
      <x:c r="J31" s="1"/>
      <x:c r="K31" s="1"/>
      <x:c r="L31" s="1"/>
    </x:row>
    <x:row r="32">
      <x:c r="A32" s="1"/>
      <x:c r="B32" s="1"/>
      <x:c r="C32" s="1"/>
      <x:c r="D32" s="1"/>
      <x:c r="E32" s="1"/>
      <x:c r="F32" s="1"/>
      <x:c r="G32" s="1"/>
      <x:c r="H32" s="1"/>
      <x:c r="I32" s="1"/>
      <x:c r="J32" s="1"/>
      <x:c r="K32" s="1"/>
      <x:c r="L32" s="1"/>
    </x:row>
    <x:row r="33">
      <x:c r="A33" s="1"/>
      <x:c r="B33" s="1"/>
      <x:c r="C33" s="1"/>
      <x:c r="D33" s="1"/>
      <x:c r="E33" s="1"/>
      <x:c r="F33" s="1"/>
      <x:c r="G33" s="1"/>
      <x:c r="H33" s="1"/>
      <x:c r="I33" s="1"/>
      <x:c r="J33" s="1"/>
      <x:c r="K33" s="1"/>
      <x:c r="L33" s="1"/>
    </x:row>
    <x:row r="34">
      <x:c r="A34" s="1"/>
      <x:c r="B34" s="1"/>
      <x:c r="C34" s="1"/>
      <x:c r="D34" s="1"/>
      <x:c r="E34" s="1"/>
      <x:c r="F34" s="1"/>
      <x:c r="G34" s="1"/>
      <x:c r="H34" s="1"/>
      <x:c r="I34" s="1"/>
      <x:c r="J34" s="1"/>
      <x:c r="K34" s="1"/>
      <x:c r="L34" s="1"/>
    </x:row>
    <x:row r="35">
      <x:c r="A35" s="1"/>
      <x:c r="B35" s="1"/>
      <x:c r="C35" s="1"/>
      <x:c r="D35" s="1"/>
      <x:c r="E35" s="1"/>
      <x:c r="F35" s="1"/>
      <x:c r="G35" s="1"/>
      <x:c r="H35" s="1"/>
      <x:c r="I35" s="1"/>
      <x:c r="J35" s="1"/>
      <x:c r="K35" s="1"/>
      <x:c r="L35" s="1"/>
    </x:row>
    <x:row r="36">
      <x:c r="A36" s="1"/>
      <x:c r="B36" s="1"/>
      <x:c r="C36" s="1"/>
      <x:c r="D36" s="1"/>
      <x:c r="E36" s="1"/>
      <x:c r="F36" s="1"/>
      <x:c r="G36" s="1"/>
      <x:c r="H36" s="1"/>
      <x:c r="I36" s="1"/>
      <x:c r="J36" s="1"/>
      <x:c r="K36" s="1"/>
      <x:c r="L36" s="1"/>
    </x:row>
    <x:row r="37">
      <x:c r="A37" s="1"/>
      <x:c r="B37" s="1"/>
      <x:c r="C37" s="1"/>
      <x:c r="D37" s="1"/>
      <x:c r="E37" s="1"/>
      <x:c r="F37" s="1"/>
      <x:c r="G37" s="1"/>
      <x:c r="H37" s="1"/>
      <x:c r="I37" s="1"/>
      <x:c r="J37" s="1"/>
      <x:c r="K37" s="1"/>
      <x:c r="L37" s="1"/>
    </x:row>
    <x:row r="38">
      <x:c r="A38" s="1"/>
      <x:c r="B38" s="1"/>
      <x:c r="C38" s="1"/>
      <x:c r="D38" s="1"/>
      <x:c r="E38" s="1"/>
      <x:c r="F38" s="1"/>
      <x:c r="G38" s="1"/>
      <x:c r="H38" s="1"/>
      <x:c r="I38" s="1"/>
      <x:c r="J38" s="1"/>
      <x:c r="K38" s="1"/>
      <x:c r="L38" s="1"/>
    </x:row>
    <x:row r="39">
      <x:c r="A39" s="1"/>
      <x:c r="B39" s="1"/>
      <x:c r="C39" s="1"/>
      <x:c r="D39" s="1"/>
      <x:c r="E39" s="1"/>
      <x:c r="F39" s="1"/>
      <x:c r="G39" s="1"/>
      <x:c r="H39" s="1"/>
      <x:c r="I39" s="1"/>
      <x:c r="J39" s="1"/>
      <x:c r="K39" s="1"/>
      <x:c r="L39" s="1"/>
    </x:row>
    <x:row r="40">
      <x:c r="A40" s="1"/>
      <x:c r="B40" s="1"/>
      <x:c r="C40" s="1"/>
      <x:c r="D40" s="1"/>
      <x:c r="E40" s="1"/>
      <x:c r="F40" s="1"/>
      <x:c r="G40" s="1"/>
      <x:c r="H40" s="1"/>
      <x:c r="I40" s="1"/>
      <x:c r="J40" s="1"/>
      <x:c r="K40" s="1"/>
      <x:c r="L40" s="1"/>
    </x:row>
    <x:row r="41">
      <x:c r="A41" s="1"/>
      <x:c r="B41" s="1"/>
      <x:c r="C41" s="1"/>
      <x:c r="D41" s="1"/>
      <x:c r="E41" s="1"/>
      <x:c r="F41" s="1"/>
      <x:c r="G41" s="1"/>
      <x:c r="H41" s="1"/>
      <x:c r="I41" s="1"/>
      <x:c r="J41" s="1"/>
      <x:c r="K41" s="1"/>
      <x:c r="L41" s="1"/>
    </x:row>
    <x:row r="42">
      <x:c r="A42" s="1"/>
      <x:c r="B42" s="1"/>
      <x:c r="C42" s="1"/>
      <x:c r="D42" s="1"/>
      <x:c r="E42" s="1"/>
      <x:c r="F42" s="1"/>
      <x:c r="G42" s="1"/>
      <x:c r="H42" s="1"/>
      <x:c r="I42" s="1"/>
      <x:c r="J42" s="1"/>
      <x:c r="K42" s="1"/>
      <x:c r="L42" s="1"/>
    </x:row>
    <x:row r="43">
      <x:c r="A43" s="1"/>
      <x:c r="B43" s="1"/>
      <x:c r="C43" s="1"/>
      <x:c r="D43" s="1"/>
      <x:c r="E43" s="1"/>
      <x:c r="F43" s="1"/>
      <x:c r="G43" s="1"/>
      <x:c r="H43" s="1"/>
      <x:c r="I43" s="1"/>
      <x:c r="J43" s="1"/>
      <x:c r="K43" s="1"/>
      <x:c r="L43" s="1"/>
    </x:row>
    <x:row r="44">
      <x:c r="A44" s="1"/>
      <x:c r="B44" s="1"/>
      <x:c r="C44" s="1"/>
      <x:c r="D44" s="1"/>
      <x:c r="E44" s="1"/>
      <x:c r="F44" s="1"/>
      <x:c r="G44" s="1"/>
      <x:c r="H44" s="1"/>
      <x:c r="I44" s="1"/>
      <x:c r="J44" s="1"/>
      <x:c r="K44" s="1"/>
      <x:c r="L44" s="1"/>
    </x:row>
    <x:row r="45">
      <x:c r="A45" s="1"/>
      <x:c r="B45" s="1"/>
      <x:c r="C45" s="1"/>
      <x:c r="D45" s="1"/>
      <x:c r="E45" s="1"/>
      <x:c r="F45" s="1"/>
      <x:c r="G45" s="1"/>
      <x:c r="H45" s="1"/>
      <x:c r="I45" s="1"/>
      <x:c r="J45" s="1"/>
      <x:c r="K45" s="1"/>
      <x:c r="L45" s="1"/>
    </x:row>
    <x:row r="46">
      <x:c r="A46" s="1"/>
      <x:c r="B46" s="1"/>
      <x:c r="C46" s="1"/>
      <x:c r="D46" s="1"/>
      <x:c r="E46" s="1"/>
      <x:c r="F46" s="1"/>
      <x:c r="G46" s="1"/>
      <x:c r="H46" s="1"/>
      <x:c r="I46" s="1"/>
      <x:c r="J46" s="1"/>
      <x:c r="K46" s="1"/>
      <x:c r="L46" s="1"/>
    </x:row>
    <x:row r="47">
      <x:c r="A47" s="1"/>
      <x:c r="B47" s="1"/>
      <x:c r="C47" s="1"/>
      <x:c r="D47" s="1"/>
      <x:c r="E47" s="1"/>
      <x:c r="F47" s="1"/>
      <x:c r="G47" s="1"/>
      <x:c r="H47" s="1"/>
      <x:c r="I47" s="1"/>
      <x:c r="J47" s="1"/>
      <x:c r="K47" s="1"/>
      <x:c r="L47" s="1"/>
    </x:row>
    <x:row r="48">
      <x:c r="A48" s="1"/>
      <x:c r="B48" s="1"/>
      <x:c r="C48" s="1"/>
      <x:c r="D48" s="1"/>
      <x:c r="E48" s="1"/>
      <x:c r="F48" s="1"/>
      <x:c r="G48" s="1"/>
      <x:c r="H48" s="1"/>
      <x:c r="I48" s="1"/>
      <x:c r="J48" s="1"/>
      <x:c r="K48" s="1"/>
      <x:c r="L48" s="1"/>
    </x:row>
    <x:row r="49">
      <x:c r="A49" s="1"/>
      <x:c r="B49" s="1"/>
      <x:c r="C49" s="1"/>
      <x:c r="D49" s="1"/>
      <x:c r="E49" s="1"/>
      <x:c r="F49" s="1"/>
      <x:c r="G49" s="1"/>
      <x:c r="H49" s="1"/>
      <x:c r="I49" s="1"/>
      <x:c r="J49" s="1"/>
      <x:c r="K49" s="1"/>
      <x:c r="L49" s="1"/>
    </x:row>
    <x:row r="50">
      <x:c r="A50" s="1"/>
      <x:c r="B50" s="1"/>
      <x:c r="C50" s="1"/>
      <x:c r="D50" s="1"/>
      <x:c r="E50" s="1"/>
      <x:c r="F50" s="1"/>
      <x:c r="G50" s="1"/>
      <x:c r="H50" s="1"/>
      <x:c r="I50" s="1"/>
      <x:c r="J50" s="1"/>
      <x:c r="K50" s="1"/>
      <x:c r="L50" s="1"/>
    </x:row>
    <x:row r="51">
      <x:c r="A51" s="1"/>
      <x:c r="B51" s="1"/>
      <x:c r="C51" s="1"/>
      <x:c r="D51" s="1"/>
      <x:c r="E51" s="1"/>
      <x:c r="F51" s="1"/>
      <x:c r="G51" s="1"/>
      <x:c r="H51" s="1"/>
      <x:c r="I51" s="1"/>
      <x:c r="J51" s="1"/>
      <x:c r="K51" s="1"/>
      <x:c r="L51" s="1"/>
    </x:row>
    <x:row r="52">
      <x:c r="A52" s="1"/>
      <x:c r="B52" s="1"/>
      <x:c r="C52" s="1"/>
      <x:c r="D52" s="1"/>
      <x:c r="E52" s="1"/>
      <x:c r="F52" s="1"/>
      <x:c r="G52" s="1"/>
      <x:c r="H52" s="1"/>
      <x:c r="I52" s="1"/>
      <x:c r="J52" s="1"/>
      <x:c r="K52" s="1"/>
      <x:c r="L52" s="1"/>
    </x:row>
    <x:row r="53">
      <x:c r="A53" s="1"/>
      <x:c r="B53" s="1"/>
      <x:c r="C53" s="1"/>
      <x:c r="D53" s="1"/>
      <x:c r="E53" s="1"/>
      <x:c r="F53" s="1"/>
      <x:c r="G53" s="1"/>
      <x:c r="H53" s="1"/>
      <x:c r="I53" s="1"/>
      <x:c r="J53" s="1"/>
      <x:c r="K53" s="1"/>
      <x:c r="L53" s="1"/>
    </x:row>
    <x:row r="54">
      <x:c r="A54" s="1"/>
      <x:c r="B54" s="1"/>
      <x:c r="C54" s="1"/>
      <x:c r="D54" s="1"/>
      <x:c r="E54" s="1"/>
      <x:c r="F54" s="1"/>
      <x:c r="G54" s="1"/>
      <x:c r="H54" s="1"/>
      <x:c r="I54" s="1"/>
      <x:c r="J54" s="1"/>
      <x:c r="K54" s="1"/>
      <x:c r="L54" s="1"/>
    </x:row>
    <x:row r="55">
      <x:c r="A55" s="1"/>
      <x:c r="B55" s="1"/>
      <x:c r="C55" s="1"/>
      <x:c r="D55" s="1"/>
      <x:c r="E55" s="1"/>
      <x:c r="F55" s="1"/>
      <x:c r="G55" s="1"/>
      <x:c r="H55" s="1"/>
      <x:c r="I55" s="1"/>
      <x:c r="J55" s="1"/>
      <x:c r="K55" s="1"/>
      <x:c r="L55" s="1"/>
    </x:row>
    <x:row r="56">
      <x:c r="A56" s="1"/>
      <x:c r="B56" s="1"/>
      <x:c r="C56" s="1"/>
      <x:c r="D56" s="1"/>
      <x:c r="E56" s="1"/>
      <x:c r="F56" s="1"/>
      <x:c r="G56" s="1"/>
      <x:c r="H56" s="1"/>
      <x:c r="I56" s="1"/>
      <x:c r="J56" s="1"/>
      <x:c r="K56" s="1"/>
      <x:c r="L56" s="1"/>
    </x:row>
    <x:row r="57">
      <x:c r="A57" s="1"/>
      <x:c r="B57" s="1"/>
      <x:c r="C57" s="1"/>
      <x:c r="D57" s="1"/>
      <x:c r="E57" s="1"/>
      <x:c r="F57" s="1"/>
      <x:c r="G57" s="1"/>
      <x:c r="H57" s="1"/>
      <x:c r="I57" s="1"/>
      <x:c r="J57" s="1"/>
      <x:c r="K57" s="1"/>
      <x:c r="L57" s="1"/>
    </x:row>
    <x:row r="58">
      <x:c r="A58" s="1"/>
      <x:c r="B58" s="1"/>
      <x:c r="C58" s="1"/>
      <x:c r="D58" s="1"/>
      <x:c r="E58" s="1"/>
      <x:c r="F58" s="1"/>
      <x:c r="G58" s="1"/>
      <x:c r="H58" s="1"/>
      <x:c r="I58" s="1"/>
      <x:c r="J58" s="1"/>
      <x:c r="K58" s="1"/>
      <x:c r="L58" s="1"/>
    </x:row>
    <x:row r="59">
      <x:c r="A59" s="1"/>
      <x:c r="B59" s="1"/>
      <x:c r="C59" s="1"/>
      <x:c r="D59" s="1"/>
      <x:c r="E59" s="1"/>
      <x:c r="F59" s="1"/>
      <x:c r="G59" s="1"/>
      <x:c r="H59" s="1"/>
      <x:c r="I59" s="1"/>
      <x:c r="J59" s="1"/>
      <x:c r="K59" s="1"/>
      <x:c r="L59" s="1"/>
    </x:row>
    <x:row r="60">
      <x:c r="A60" s="1"/>
      <x:c r="B60" s="1"/>
      <x:c r="C60" s="1"/>
      <x:c r="D60" s="1"/>
      <x:c r="E60" s="1"/>
      <x:c r="F60" s="1"/>
      <x:c r="G60" s="1"/>
      <x:c r="H60" s="1"/>
      <x:c r="I60" s="1"/>
      <x:c r="J60" s="1"/>
      <x:c r="K60" s="1"/>
      <x:c r="L60" s="1"/>
    </x:row>
  </x:sheetData>
  <x:mergeCells>
    <x:mergeCell ref="A1:H1"/>
    <x:mergeCell ref="A2:H2"/>
    <x:mergeCell ref="A4:H4"/>
    <x:mergeCell ref="A13:H13"/>
    <x:mergeCell ref="A21:H24"/>
  </x:mergeCells>
  <x:pageMargins left="0.7" right="0.7" top="0.75" bottom="0.75" header="0.3" footer="0.3"/>
</x:worksheet>
</file>

<file path=xl/worksheets/sheet2.xml><?xml version="1.0" encoding="utf-8"?>
<x:worksheet xmlns:x="http://schemas.openxmlformats.org/spreadsheetml/2006/main">
  <x:sheetViews>
    <x:sheetView showGridLines="0" workbookViewId="0"/>
  </x:sheetViews>
  <x:sheetFormatPr defaultRowHeight="15"/>
  <x:cols>
    <x:col min="1" max="1" width="30" hidden="0" customWidth="1"/>
    <x:col min="2" max="2" width="21" hidden="0" customWidth="1"/>
    <x:col min="6" max="6" width="29" hidden="0" customWidth="1"/>
    <x:col min="7" max="7" width="17" hidden="0" customWidth="1"/>
  </x:cols>
  <x:sheetData>
    <x:row r="1" ht="34" customHeight="1">
      <x:c r="A1" s="5" t="str">
        <x:v>Property Input</x:v>
      </x:c>
      <x:c r="B1" s="5"/>
      <x:c r="C1" s="5"/>
      <x:c r="D1" s="5"/>
      <x:c r="E1" s="5"/>
      <x:c r="F1" s="5"/>
      <x:c r="G1" s="5"/>
      <x:c r="H1" s="5"/>
      <x:c r="I1" s="1"/>
      <x:c r="J1" s="1"/>
      <x:c r="K1" s="1"/>
      <x:c r="L1" s="1"/>
    </x:row>
    <x:row r="2" ht="28" customHeight="1">
      <x:c r="A2" s="8" t="str">
        <x:v>Change only the yellow cells. The sample property lets every formula work immediately; replace it with the deal you are analyzing.</x:v>
      </x:c>
      <x:c r="B2" s="8"/>
      <x:c r="C2" s="8"/>
      <x:c r="D2" s="8"/>
      <x:c r="E2" s="8"/>
      <x:c r="F2" s="8"/>
      <x:c r="G2" s="8"/>
      <x:c r="H2" s="8"/>
      <x:c r="I2" s="1"/>
      <x:c r="J2" s="1"/>
      <x:c r="K2" s="1"/>
      <x:c r="L2" s="1"/>
    </x:row>
    <x:row r="3">
      <x:c r="A3" s="1"/>
      <x:c r="B3" s="1"/>
      <x:c r="C3" s="1"/>
      <x:c r="D3" s="1"/>
      <x:c r="E3" s="1"/>
      <x:c r="F3" s="1"/>
      <x:c r="G3" s="1"/>
      <x:c r="H3" s="1"/>
      <x:c r="I3" s="1"/>
      <x:c r="J3" s="1"/>
      <x:c r="K3" s="1"/>
      <x:c r="L3" s="1"/>
    </x:row>
    <x:row r="4" ht="22" customHeight="1">
      <x:c r="A4" s="22" t="str">
        <x:v>Property and acquisition</x:v>
      </x:c>
      <x:c r="B4" s="22"/>
      <x:c r="C4" s="22"/>
      <x:c r="D4" s="22"/>
      <x:c r="E4" s="1"/>
      <x:c r="F4" s="22" t="str">
        <x:v>Decision rules</x:v>
      </x:c>
      <x:c r="G4" s="22"/>
      <x:c r="H4" s="22"/>
      <x:c r="I4" s="1"/>
      <x:c r="J4" s="1"/>
      <x:c r="K4" s="1"/>
      <x:c r="L4" s="1"/>
    </x:row>
    <x:row r="5">
      <x:c r="A5" s="1" t="str">
        <x:v>Property name</x:v>
      </x:c>
      <x:c r="B5" s="80" t="str">
        <x:v>Sample Miami Rental</x:v>
      </x:c>
      <x:c r="C5" s="1"/>
      <x:c r="D5" s="1"/>
      <x:c r="E5" s="1"/>
      <x:c r="F5" s="1" t="str">
        <x:v>Minimum cash-on-cash</x:v>
      </x:c>
      <x:c r="G5" s="82" t="n">
        <x:v>0.08</x:v>
      </x:c>
      <x:c r="H5" s="1"/>
      <x:c r="I5" s="1"/>
      <x:c r="J5" s="1"/>
      <x:c r="K5" s="1"/>
      <x:c r="L5" s="1"/>
    </x:row>
    <x:row r="6">
      <x:c r="A6" s="1" t="str">
        <x:v>Address</x:v>
      </x:c>
      <x:c r="B6" s="80" t="str">
        <x:v>123 Sample Street</x:v>
      </x:c>
      <x:c r="C6" s="1"/>
      <x:c r="D6" s="1"/>
      <x:c r="E6" s="1"/>
      <x:c r="F6" s="1" t="str">
        <x:v>Minimum DSCR</x:v>
      </x:c>
      <x:c r="G6" s="82" t="n">
        <x:v>1.25</x:v>
      </x:c>
      <x:c r="H6" s="1"/>
      <x:c r="I6" s="1"/>
      <x:c r="J6" s="1"/>
      <x:c r="K6" s="1"/>
      <x:c r="L6" s="1"/>
    </x:row>
    <x:row r="7">
      <x:c r="A7" s="1" t="str">
        <x:v>Purchase price</x:v>
      </x:c>
      <x:c r="B7" s="81" t="n">
        <x:v>250000</x:v>
      </x:c>
      <x:c r="C7" s="1"/>
      <x:c r="D7" s="1"/>
      <x:c r="E7" s="1"/>
      <x:c r="F7" s="1" t="str">
        <x:v>Minimum monthly cash flow</x:v>
      </x:c>
      <x:c r="G7" s="86" t="n">
        <x:v>200</x:v>
      </x:c>
      <x:c r="H7" s="1"/>
      <x:c r="I7" s="1"/>
      <x:c r="J7" s="1"/>
      <x:c r="K7" s="1"/>
      <x:c r="L7" s="1"/>
    </x:row>
    <x:row r="8">
      <x:c r="A8" s="1" t="str">
        <x:v>Closing costs</x:v>
      </x:c>
      <x:c r="B8" s="81" t="n">
        <x:v>7500</x:v>
      </x:c>
      <x:c r="C8" s="1"/>
      <x:c r="D8" s="1"/>
      <x:c r="E8" s="1"/>
      <x:c r="F8" s="1" t="str">
        <x:v>Minimum flip profit</x:v>
      </x:c>
      <x:c r="G8" s="86" t="n">
        <x:v>30000</x:v>
      </x:c>
      <x:c r="H8" s="1"/>
      <x:c r="I8" s="1"/>
      <x:c r="J8" s="1"/>
      <x:c r="K8" s="1"/>
      <x:c r="L8" s="1"/>
    </x:row>
    <x:row r="9">
      <x:c r="A9" s="1" t="str">
        <x:v>Immediate repairs</x:v>
      </x:c>
      <x:c r="B9" s="81" t="n">
        <x:v>30000</x:v>
      </x:c>
      <x:c r="C9" s="1"/>
      <x:c r="D9" s="1"/>
      <x:c r="E9" s="1"/>
      <x:c r="F9" s="1" t="str">
        <x:v>Minimum flip ROI</x:v>
      </x:c>
      <x:c r="G9" s="82" t="n">
        <x:v>0.15</x:v>
      </x:c>
      <x:c r="H9" s="1"/>
      <x:c r="I9" s="1"/>
      <x:c r="J9" s="1"/>
      <x:c r="K9" s="1"/>
      <x:c r="L9" s="1"/>
    </x:row>
    <x:row r="10">
      <x:c r="A10" s="1" t="str">
        <x:v>After-repair value (ARV)</x:v>
      </x:c>
      <x:c r="B10" s="81" t="n">
        <x:v>350000</x:v>
      </x:c>
      <x:c r="C10" s="1"/>
      <x:c r="D10" s="1"/>
      <x:c r="E10" s="1"/>
      <x:c r="F10" s="1" t="str">
        <x:v>Maximum basis / ARV</x:v>
      </x:c>
      <x:c r="G10" s="82" t="n">
        <x:v>0.75</x:v>
      </x:c>
      <x:c r="H10" s="1"/>
      <x:c r="I10" s="1"/>
      <x:c r="J10" s="1"/>
      <x:c r="K10" s="1"/>
      <x:c r="L10" s="1"/>
    </x:row>
    <x:row r="11">
      <x:c r="A11" s="1" t="str">
        <x:v>Holding period (months)</x:v>
      </x:c>
      <x:c r="B11" s="80" t="n">
        <x:v>6</x:v>
      </x:c>
      <x:c r="C11" s="1"/>
      <x:c r="D11" s="1"/>
      <x:c r="E11" s="1"/>
      <x:c r="F11" s="1" t="str">
        <x:v>Minimum stress cash flow</x:v>
      </x:c>
      <x:c r="G11" s="86" t="n">
        <x:v>0</x:v>
      </x:c>
      <x:c r="H11" s="1"/>
      <x:c r="I11" s="1"/>
      <x:c r="J11" s="1"/>
      <x:c r="K11" s="1"/>
      <x:c r="L11" s="1"/>
    </x:row>
    <x:row r="12">
      <x:c r="A12" s="1" t="str">
        <x:v>Selling cost %</x:v>
      </x:c>
      <x:c r="B12" s="82" t="n">
        <x:v>0.08</x:v>
      </x:c>
      <x:c r="C12" s="1"/>
      <x:c r="D12" s="1"/>
      <x:c r="E12" s="1"/>
      <x:c r="F12" s="1" t="str">
        <x:v>Offer safety buffer</x:v>
      </x:c>
      <x:c r="G12" s="86" t="n">
        <x:v>10000</x:v>
      </x:c>
      <x:c r="H12" s="1"/>
      <x:c r="I12" s="1"/>
      <x:c r="J12" s="1"/>
      <x:c r="K12" s="1"/>
      <x:c r="L12" s="1"/>
    </x:row>
    <x:row r="13">
      <x:c r="A13" s="1"/>
      <x:c r="B13" s="80"/>
      <x:c r="C13" s="1"/>
      <x:c r="D13" s="1"/>
      <x:c r="E13" s="1"/>
      <x:c r="F13" s="1" t="str">
        <x:v>Refinance LTV</x:v>
      </x:c>
      <x:c r="G13" s="82" t="n">
        <x:v>0.75</x:v>
      </x:c>
      <x:c r="H13" s="1"/>
      <x:c r="I13" s="1"/>
      <x:c r="J13" s="1"/>
      <x:c r="K13" s="1"/>
      <x:c r="L13" s="1"/>
    </x:row>
    <x:row r="14" ht="22" customHeight="1">
      <x:c r="A14" s="22" t="str">
        <x:v>Financing</x:v>
      </x:c>
      <x:c r="B14" s="83"/>
      <x:c r="C14" s="22"/>
      <x:c r="D14" s="22"/>
      <x:c r="E14" s="1"/>
      <x:c r="F14" s="1" t="str">
        <x:v>Score pass threshold</x:v>
      </x:c>
      <x:c r="G14" s="87" t="n">
        <x:v>75</x:v>
      </x:c>
      <x:c r="H14" s="1"/>
      <x:c r="I14" s="1"/>
      <x:c r="J14" s="1"/>
      <x:c r="K14" s="1"/>
      <x:c r="L14" s="1"/>
    </x:row>
    <x:row r="15">
      <x:c r="A15" s="1" t="str">
        <x:v>Down payment %</x:v>
      </x:c>
      <x:c r="B15" s="82" t="n">
        <x:v>0.2</x:v>
      </x:c>
      <x:c r="C15" s="1"/>
      <x:c r="D15" s="1"/>
      <x:c r="E15" s="1"/>
      <x:c r="F15" s="1"/>
      <x:c r="G15" s="1"/>
      <x:c r="H15" s="1"/>
      <x:c r="I15" s="1"/>
      <x:c r="J15" s="1"/>
      <x:c r="K15" s="1"/>
      <x:c r="L15" s="1"/>
    </x:row>
    <x:row r="16">
      <x:c r="A16" s="1" t="str">
        <x:v>Interest rate</x:v>
      </x:c>
      <x:c r="B16" s="82" t="n">
        <x:v>0.075</x:v>
      </x:c>
      <x:c r="C16" s="1"/>
      <x:c r="D16" s="1"/>
      <x:c r="E16" s="1"/>
      <x:c r="F16" s="1"/>
      <x:c r="G16" s="1"/>
      <x:c r="H16" s="1"/>
      <x:c r="I16" s="1"/>
      <x:c r="J16" s="1"/>
      <x:c r="K16" s="1"/>
      <x:c r="L16" s="1"/>
    </x:row>
    <x:row r="17">
      <x:c r="A17" s="1" t="str">
        <x:v>Loan term (years)</x:v>
      </x:c>
      <x:c r="B17" s="80" t="n">
        <x:v>30</x:v>
      </x:c>
      <x:c r="C17" s="1"/>
      <x:c r="D17" s="1"/>
      <x:c r="E17" s="1"/>
      <x:c r="F17" s="61" t="str">
        <x:v>Tip: Start with conservative numbers. A deal that only works with perfect rent, perfect repairs, and a perfect resale price is not a strong deal—it is a fragile deal.</x:v>
      </x:c>
      <x:c r="G17" s="61"/>
      <x:c r="H17" s="61"/>
      <x:c r="I17" s="1"/>
      <x:c r="J17" s="1"/>
      <x:c r="K17" s="1"/>
      <x:c r="L17" s="1"/>
    </x:row>
    <x:row r="18">
      <x:c r="A18" s="1" t="str">
        <x:v>Loan fees / points</x:v>
      </x:c>
      <x:c r="B18" s="84" t="n">
        <x:v>5000</x:v>
      </x:c>
      <x:c r="C18" s="1"/>
      <x:c r="D18" s="1"/>
      <x:c r="E18" s="1"/>
      <x:c r="F18" s="61"/>
      <x:c r="G18" s="61"/>
      <x:c r="H18" s="61"/>
      <x:c r="I18" s="1"/>
      <x:c r="J18" s="1"/>
      <x:c r="K18" s="1"/>
      <x:c r="L18" s="1"/>
    </x:row>
    <x:row r="19">
      <x:c r="A19" s="1" t="str">
        <x:v>Monthly debt service</x:v>
      </x:c>
      <x:c r="B19" s="79" t="n">
        <x:f>-PMT(B16/12,B17*12,B20)</x:f>
        <x:v>1398.4290171055584</x:v>
      </x:c>
      <x:c r="C19" s="1"/>
      <x:c r="D19" s="1"/>
      <x:c r="E19" s="1"/>
      <x:c r="F19" s="61"/>
      <x:c r="G19" s="61"/>
      <x:c r="H19" s="61"/>
      <x:c r="I19" s="1"/>
      <x:c r="J19" s="1"/>
      <x:c r="K19" s="1"/>
      <x:c r="L19" s="1"/>
    </x:row>
    <x:row r="20">
      <x:c r="A20" s="1" t="str">
        <x:v>Loan amount</x:v>
      </x:c>
      <x:c r="B20" s="79" t="n">
        <x:f>B7*(1-B15)</x:f>
        <x:v>200000</x:v>
      </x:c>
      <x:c r="C20" s="1"/>
      <x:c r="D20" s="1"/>
      <x:c r="E20" s="1"/>
      <x:c r="F20" s="61"/>
      <x:c r="G20" s="61"/>
      <x:c r="H20" s="61"/>
      <x:c r="I20" s="1"/>
      <x:c r="J20" s="1"/>
      <x:c r="K20" s="1"/>
      <x:c r="L20" s="1"/>
    </x:row>
    <x:row r="21">
      <x:c r="A21" s="1"/>
      <x:c r="B21" s="1"/>
      <x:c r="C21" s="1"/>
      <x:c r="D21" s="1"/>
      <x:c r="E21" s="1"/>
      <x:c r="F21" s="61"/>
      <x:c r="G21" s="61"/>
      <x:c r="H21" s="61"/>
      <x:c r="I21" s="1"/>
      <x:c r="J21" s="1"/>
      <x:c r="K21" s="1"/>
      <x:c r="L21" s="1"/>
    </x:row>
    <x:row r="22" ht="22" customHeight="1">
      <x:c r="A22" s="22" t="str">
        <x:v>Rental operations</x:v>
      </x:c>
      <x:c r="B22" s="22"/>
      <x:c r="C22" s="22"/>
      <x:c r="D22" s="22"/>
      <x:c r="E22" s="1"/>
      <x:c r="F22" s="1"/>
      <x:c r="G22" s="1"/>
      <x:c r="H22" s="1"/>
      <x:c r="I22" s="1"/>
      <x:c r="J22" s="1"/>
      <x:c r="K22" s="1"/>
      <x:c r="L22" s="1"/>
    </x:row>
    <x:row r="23">
      <x:c r="A23" s="1" t="str">
        <x:v>Monthly gross rent</x:v>
      </x:c>
      <x:c r="B23" s="85" t="n">
        <x:v>3200</x:v>
      </x:c>
      <x:c r="C23" s="1"/>
      <x:c r="D23" s="1"/>
      <x:c r="E23" s="1"/>
      <x:c r="F23" s="1"/>
      <x:c r="G23" s="1"/>
      <x:c r="H23" s="1"/>
      <x:c r="I23" s="1"/>
      <x:c r="J23" s="1"/>
      <x:c r="K23" s="1"/>
      <x:c r="L23" s="1"/>
    </x:row>
    <x:row r="24">
      <x:c r="A24" s="1" t="str">
        <x:v>Other monthly income</x:v>
      </x:c>
      <x:c r="B24" s="81" t="n">
        <x:v>100</x:v>
      </x:c>
      <x:c r="C24" s="1"/>
      <x:c r="D24" s="1"/>
      <x:c r="E24" s="1"/>
      <x:c r="F24" s="1"/>
      <x:c r="G24" s="1"/>
      <x:c r="H24" s="1"/>
      <x:c r="I24" s="1"/>
      <x:c r="J24" s="1"/>
      <x:c r="K24" s="1"/>
      <x:c r="L24" s="1"/>
    </x:row>
    <x:row r="25">
      <x:c r="A25" s="1" t="str">
        <x:v>Vacancy %</x:v>
      </x:c>
      <x:c r="B25" s="82" t="n">
        <x:v>0.05</x:v>
      </x:c>
      <x:c r="C25" s="1"/>
      <x:c r="D25" s="1"/>
      <x:c r="E25" s="1"/>
      <x:c r="F25" s="1"/>
      <x:c r="G25" s="1"/>
      <x:c r="H25" s="1"/>
      <x:c r="I25" s="1"/>
      <x:c r="J25" s="1"/>
      <x:c r="K25" s="1"/>
      <x:c r="L25" s="1"/>
    </x:row>
    <x:row r="26">
      <x:c r="A26" s="1" t="str">
        <x:v>Property tax / year</x:v>
      </x:c>
      <x:c r="B26" s="81" t="n">
        <x:v>4200</x:v>
      </x:c>
      <x:c r="C26" s="1"/>
      <x:c r="D26" s="1"/>
      <x:c r="E26" s="1"/>
      <x:c r="F26" s="1"/>
      <x:c r="G26" s="1"/>
      <x:c r="H26" s="1"/>
      <x:c r="I26" s="1"/>
      <x:c r="J26" s="1"/>
      <x:c r="K26" s="1"/>
      <x:c r="L26" s="1"/>
    </x:row>
    <x:row r="27">
      <x:c r="A27" s="1" t="str">
        <x:v>Insurance / year</x:v>
      </x:c>
      <x:c r="B27" s="81" t="n">
        <x:v>2400</x:v>
      </x:c>
      <x:c r="C27" s="1"/>
      <x:c r="D27" s="1"/>
      <x:c r="E27" s="1"/>
      <x:c r="F27" s="1"/>
      <x:c r="G27" s="1"/>
      <x:c r="H27" s="1"/>
      <x:c r="I27" s="1"/>
      <x:c r="J27" s="1"/>
      <x:c r="K27" s="1"/>
      <x:c r="L27" s="1"/>
    </x:row>
    <x:row r="28">
      <x:c r="A28" s="1" t="str">
        <x:v>HOA / month</x:v>
      </x:c>
      <x:c r="B28" s="81" t="n">
        <x:v>0</x:v>
      </x:c>
      <x:c r="C28" s="1"/>
      <x:c r="D28" s="1"/>
      <x:c r="E28" s="1"/>
      <x:c r="F28" s="1"/>
      <x:c r="G28" s="1"/>
      <x:c r="H28" s="1"/>
      <x:c r="I28" s="1"/>
      <x:c r="J28" s="1"/>
      <x:c r="K28" s="1"/>
      <x:c r="L28" s="1"/>
    </x:row>
    <x:row r="29">
      <x:c r="A29" s="1" t="str">
        <x:v>Property management %</x:v>
      </x:c>
      <x:c r="B29" s="82" t="n">
        <x:v>0.08</x:v>
      </x:c>
      <x:c r="C29" s="1"/>
      <x:c r="D29" s="1"/>
      <x:c r="E29" s="1"/>
      <x:c r="F29" s="1"/>
      <x:c r="G29" s="1"/>
      <x:c r="H29" s="1"/>
      <x:c r="I29" s="1"/>
      <x:c r="J29" s="1"/>
      <x:c r="K29" s="1"/>
      <x:c r="L29" s="1"/>
    </x:row>
    <x:row r="30">
      <x:c r="A30" s="1" t="str">
        <x:v>Maintenance reserve %</x:v>
      </x:c>
      <x:c r="B30" s="82" t="n">
        <x:v>0.05</x:v>
      </x:c>
      <x:c r="C30" s="1"/>
      <x:c r="D30" s="1"/>
      <x:c r="E30" s="1"/>
      <x:c r="F30" s="1"/>
      <x:c r="G30" s="1"/>
      <x:c r="H30" s="1"/>
      <x:c r="I30" s="1"/>
      <x:c r="J30" s="1"/>
      <x:c r="K30" s="1"/>
      <x:c r="L30" s="1"/>
    </x:row>
    <x:row r="31">
      <x:c r="A31" s="1" t="str">
        <x:v>Capital reserve %</x:v>
      </x:c>
      <x:c r="B31" s="82" t="n">
        <x:v>0.05</x:v>
      </x:c>
      <x:c r="C31" s="1"/>
      <x:c r="D31" s="1"/>
      <x:c r="E31" s="1"/>
      <x:c r="F31" s="1"/>
      <x:c r="G31" s="1"/>
      <x:c r="H31" s="1"/>
      <x:c r="I31" s="1"/>
      <x:c r="J31" s="1"/>
      <x:c r="K31" s="1"/>
      <x:c r="L31" s="1"/>
    </x:row>
    <x:row r="32">
      <x:c r="A32" s="1"/>
      <x:c r="B32" s="1"/>
      <x:c r="C32" s="1"/>
      <x:c r="D32" s="1"/>
      <x:c r="E32" s="1"/>
      <x:c r="F32" s="1"/>
      <x:c r="G32" s="1"/>
      <x:c r="H32" s="1"/>
      <x:c r="I32" s="1"/>
      <x:c r="J32" s="1"/>
      <x:c r="K32" s="1"/>
      <x:c r="L32" s="1"/>
    </x:row>
    <x:row r="33">
      <x:c r="A33" s="1"/>
      <x:c r="B33" s="1"/>
      <x:c r="C33" s="1"/>
      <x:c r="D33" s="1"/>
      <x:c r="E33" s="1"/>
      <x:c r="F33" s="1"/>
      <x:c r="G33" s="1"/>
      <x:c r="H33" s="1"/>
      <x:c r="I33" s="1"/>
      <x:c r="J33" s="1"/>
      <x:c r="K33" s="1"/>
      <x:c r="L33" s="1"/>
    </x:row>
    <x:row r="34">
      <x:c r="A34" s="1"/>
      <x:c r="B34" s="1"/>
      <x:c r="C34" s="1"/>
      <x:c r="D34" s="1"/>
      <x:c r="E34" s="1"/>
      <x:c r="F34" s="1"/>
      <x:c r="G34" s="1"/>
      <x:c r="H34" s="1"/>
      <x:c r="I34" s="1"/>
      <x:c r="J34" s="1"/>
      <x:c r="K34" s="1"/>
      <x:c r="L34" s="1"/>
    </x:row>
    <x:row r="35">
      <x:c r="A35" s="1"/>
      <x:c r="B35" s="1"/>
      <x:c r="C35" s="1"/>
      <x:c r="D35" s="1"/>
      <x:c r="E35" s="1"/>
      <x:c r="F35" s="1"/>
      <x:c r="G35" s="1"/>
      <x:c r="H35" s="1"/>
      <x:c r="I35" s="1"/>
      <x:c r="J35" s="1"/>
      <x:c r="K35" s="1"/>
      <x:c r="L35" s="1"/>
    </x:row>
    <x:row r="36">
      <x:c r="A36" s="1"/>
      <x:c r="B36" s="1"/>
      <x:c r="C36" s="1"/>
      <x:c r="D36" s="1"/>
      <x:c r="E36" s="1"/>
      <x:c r="F36" s="1"/>
      <x:c r="G36" s="1"/>
      <x:c r="H36" s="1"/>
      <x:c r="I36" s="1"/>
      <x:c r="J36" s="1"/>
      <x:c r="K36" s="1"/>
      <x:c r="L36" s="1"/>
    </x:row>
    <x:row r="37">
      <x:c r="A37" s="1"/>
      <x:c r="B37" s="1"/>
      <x:c r="C37" s="1"/>
      <x:c r="D37" s="1"/>
      <x:c r="E37" s="1"/>
      <x:c r="F37" s="1"/>
      <x:c r="G37" s="1"/>
      <x:c r="H37" s="1"/>
      <x:c r="I37" s="1"/>
      <x:c r="J37" s="1"/>
      <x:c r="K37" s="1"/>
      <x:c r="L37" s="1"/>
    </x:row>
    <x:row r="38">
      <x:c r="A38" s="1"/>
      <x:c r="B38" s="1"/>
      <x:c r="C38" s="1"/>
      <x:c r="D38" s="1"/>
      <x:c r="E38" s="1"/>
      <x:c r="F38" s="1"/>
      <x:c r="G38" s="1"/>
      <x:c r="H38" s="1"/>
      <x:c r="I38" s="1"/>
      <x:c r="J38" s="1"/>
      <x:c r="K38" s="1"/>
      <x:c r="L38" s="1"/>
    </x:row>
    <x:row r="39">
      <x:c r="A39" s="1"/>
      <x:c r="B39" s="1"/>
      <x:c r="C39" s="1"/>
      <x:c r="D39" s="1"/>
      <x:c r="E39" s="1"/>
      <x:c r="F39" s="1"/>
      <x:c r="G39" s="1"/>
      <x:c r="H39" s="1"/>
      <x:c r="I39" s="1"/>
      <x:c r="J39" s="1"/>
      <x:c r="K39" s="1"/>
      <x:c r="L39" s="1"/>
    </x:row>
    <x:row r="40">
      <x:c r="A40" s="1"/>
      <x:c r="B40" s="1"/>
      <x:c r="C40" s="1"/>
      <x:c r="D40" s="1"/>
      <x:c r="E40" s="1"/>
      <x:c r="F40" s="1"/>
      <x:c r="G40" s="1"/>
      <x:c r="H40" s="1"/>
      <x:c r="I40" s="1"/>
      <x:c r="J40" s="1"/>
      <x:c r="K40" s="1"/>
      <x:c r="L40" s="1"/>
    </x:row>
    <x:row r="41">
      <x:c r="A41" s="1"/>
      <x:c r="B41" s="1"/>
      <x:c r="C41" s="1"/>
      <x:c r="D41" s="1"/>
      <x:c r="E41" s="1"/>
      <x:c r="F41" s="1"/>
      <x:c r="G41" s="1"/>
      <x:c r="H41" s="1"/>
      <x:c r="I41" s="1"/>
      <x:c r="J41" s="1"/>
      <x:c r="K41" s="1"/>
      <x:c r="L41" s="1"/>
    </x:row>
    <x:row r="42">
      <x:c r="A42" s="1"/>
      <x:c r="B42" s="1"/>
      <x:c r="C42" s="1"/>
      <x:c r="D42" s="1"/>
      <x:c r="E42" s="1"/>
      <x:c r="F42" s="1"/>
      <x:c r="G42" s="1"/>
      <x:c r="H42" s="1"/>
      <x:c r="I42" s="1"/>
      <x:c r="J42" s="1"/>
      <x:c r="K42" s="1"/>
      <x:c r="L42" s="1"/>
    </x:row>
    <x:row r="43">
      <x:c r="A43" s="1"/>
      <x:c r="B43" s="1"/>
      <x:c r="C43" s="1"/>
      <x:c r="D43" s="1"/>
      <x:c r="E43" s="1"/>
      <x:c r="F43" s="1"/>
      <x:c r="G43" s="1"/>
      <x:c r="H43" s="1"/>
      <x:c r="I43" s="1"/>
      <x:c r="J43" s="1"/>
      <x:c r="K43" s="1"/>
      <x:c r="L43" s="1"/>
    </x:row>
    <x:row r="44">
      <x:c r="A44" s="1"/>
      <x:c r="B44" s="1"/>
      <x:c r="C44" s="1"/>
      <x:c r="D44" s="1"/>
      <x:c r="E44" s="1"/>
      <x:c r="F44" s="1"/>
      <x:c r="G44" s="1"/>
      <x:c r="H44" s="1"/>
      <x:c r="I44" s="1"/>
      <x:c r="J44" s="1"/>
      <x:c r="K44" s="1"/>
      <x:c r="L44" s="1"/>
    </x:row>
    <x:row r="45">
      <x:c r="A45" s="1"/>
      <x:c r="B45" s="1"/>
      <x:c r="C45" s="1"/>
      <x:c r="D45" s="1"/>
      <x:c r="E45" s="1"/>
      <x:c r="F45" s="1"/>
      <x:c r="G45" s="1"/>
      <x:c r="H45" s="1"/>
      <x:c r="I45" s="1"/>
      <x:c r="J45" s="1"/>
      <x:c r="K45" s="1"/>
      <x:c r="L45" s="1"/>
    </x:row>
    <x:row r="46">
      <x:c r="A46" s="1"/>
      <x:c r="B46" s="1"/>
      <x:c r="C46" s="1"/>
      <x:c r="D46" s="1"/>
      <x:c r="E46" s="1"/>
      <x:c r="F46" s="1"/>
      <x:c r="G46" s="1"/>
      <x:c r="H46" s="1"/>
      <x:c r="I46" s="1"/>
      <x:c r="J46" s="1"/>
      <x:c r="K46" s="1"/>
      <x:c r="L46" s="1"/>
    </x:row>
    <x:row r="47">
      <x:c r="A47" s="1"/>
      <x:c r="B47" s="1"/>
      <x:c r="C47" s="1"/>
      <x:c r="D47" s="1"/>
      <x:c r="E47" s="1"/>
      <x:c r="F47" s="1"/>
      <x:c r="G47" s="1"/>
      <x:c r="H47" s="1"/>
      <x:c r="I47" s="1"/>
      <x:c r="J47" s="1"/>
      <x:c r="K47" s="1"/>
      <x:c r="L47" s="1"/>
    </x:row>
    <x:row r="48">
      <x:c r="A48" s="1"/>
      <x:c r="B48" s="1"/>
      <x:c r="C48" s="1"/>
      <x:c r="D48" s="1"/>
      <x:c r="E48" s="1"/>
      <x:c r="F48" s="1"/>
      <x:c r="G48" s="1"/>
      <x:c r="H48" s="1"/>
      <x:c r="I48" s="1"/>
      <x:c r="J48" s="1"/>
      <x:c r="K48" s="1"/>
      <x:c r="L48" s="1"/>
    </x:row>
    <x:row r="49">
      <x:c r="A49" s="1"/>
      <x:c r="B49" s="1"/>
      <x:c r="C49" s="1"/>
      <x:c r="D49" s="1"/>
      <x:c r="E49" s="1"/>
      <x:c r="F49" s="1"/>
      <x:c r="G49" s="1"/>
      <x:c r="H49" s="1"/>
      <x:c r="I49" s="1"/>
      <x:c r="J49" s="1"/>
      <x:c r="K49" s="1"/>
      <x:c r="L49" s="1"/>
    </x:row>
    <x:row r="50">
      <x:c r="A50" s="1"/>
      <x:c r="B50" s="1"/>
      <x:c r="C50" s="1"/>
      <x:c r="D50" s="1"/>
      <x:c r="E50" s="1"/>
      <x:c r="F50" s="1"/>
      <x:c r="G50" s="1"/>
      <x:c r="H50" s="1"/>
      <x:c r="I50" s="1"/>
      <x:c r="J50" s="1"/>
      <x:c r="K50" s="1"/>
      <x:c r="L50" s="1"/>
    </x:row>
    <x:row r="51">
      <x:c r="A51" s="1"/>
      <x:c r="B51" s="1"/>
      <x:c r="C51" s="1"/>
      <x:c r="D51" s="1"/>
      <x:c r="E51" s="1"/>
      <x:c r="F51" s="1"/>
      <x:c r="G51" s="1"/>
      <x:c r="H51" s="1"/>
      <x:c r="I51" s="1"/>
      <x:c r="J51" s="1"/>
      <x:c r="K51" s="1"/>
      <x:c r="L51" s="1"/>
    </x:row>
    <x:row r="52">
      <x:c r="A52" s="1"/>
      <x:c r="B52" s="1"/>
      <x:c r="C52" s="1"/>
      <x:c r="D52" s="1"/>
      <x:c r="E52" s="1"/>
      <x:c r="F52" s="1"/>
      <x:c r="G52" s="1"/>
      <x:c r="H52" s="1"/>
      <x:c r="I52" s="1"/>
      <x:c r="J52" s="1"/>
      <x:c r="K52" s="1"/>
      <x:c r="L52" s="1"/>
    </x:row>
    <x:row r="53">
      <x:c r="A53" s="1"/>
      <x:c r="B53" s="1"/>
      <x:c r="C53" s="1"/>
      <x:c r="D53" s="1"/>
      <x:c r="E53" s="1"/>
      <x:c r="F53" s="1"/>
      <x:c r="G53" s="1"/>
      <x:c r="H53" s="1"/>
      <x:c r="I53" s="1"/>
      <x:c r="J53" s="1"/>
      <x:c r="K53" s="1"/>
      <x:c r="L53" s="1"/>
    </x:row>
    <x:row r="54">
      <x:c r="A54" s="1"/>
      <x:c r="B54" s="1"/>
      <x:c r="C54" s="1"/>
      <x:c r="D54" s="1"/>
      <x:c r="E54" s="1"/>
      <x:c r="F54" s="1"/>
      <x:c r="G54" s="1"/>
      <x:c r="H54" s="1"/>
      <x:c r="I54" s="1"/>
      <x:c r="J54" s="1"/>
      <x:c r="K54" s="1"/>
      <x:c r="L54" s="1"/>
    </x:row>
    <x:row r="55">
      <x:c r="A55" s="1"/>
      <x:c r="B55" s="1"/>
      <x:c r="C55" s="1"/>
      <x:c r="D55" s="1"/>
      <x:c r="E55" s="1"/>
      <x:c r="F55" s="1"/>
      <x:c r="G55" s="1"/>
      <x:c r="H55" s="1"/>
      <x:c r="I55" s="1"/>
      <x:c r="J55" s="1"/>
      <x:c r="K55" s="1"/>
      <x:c r="L55" s="1"/>
    </x:row>
    <x:row r="56">
      <x:c r="A56" s="1"/>
      <x:c r="B56" s="1"/>
      <x:c r="C56" s="1"/>
      <x:c r="D56" s="1"/>
      <x:c r="E56" s="1"/>
      <x:c r="F56" s="1"/>
      <x:c r="G56" s="1"/>
      <x:c r="H56" s="1"/>
      <x:c r="I56" s="1"/>
      <x:c r="J56" s="1"/>
      <x:c r="K56" s="1"/>
      <x:c r="L56" s="1"/>
    </x:row>
    <x:row r="57">
      <x:c r="A57" s="1"/>
      <x:c r="B57" s="1"/>
      <x:c r="C57" s="1"/>
      <x:c r="D57" s="1"/>
      <x:c r="E57" s="1"/>
      <x:c r="F57" s="1"/>
      <x:c r="G57" s="1"/>
      <x:c r="H57" s="1"/>
      <x:c r="I57" s="1"/>
      <x:c r="J57" s="1"/>
      <x:c r="K57" s="1"/>
      <x:c r="L57" s="1"/>
    </x:row>
    <x:row r="58">
      <x:c r="A58" s="1"/>
      <x:c r="B58" s="1"/>
      <x:c r="C58" s="1"/>
      <x:c r="D58" s="1"/>
      <x:c r="E58" s="1"/>
      <x:c r="F58" s="1"/>
      <x:c r="G58" s="1"/>
      <x:c r="H58" s="1"/>
      <x:c r="I58" s="1"/>
      <x:c r="J58" s="1"/>
      <x:c r="K58" s="1"/>
      <x:c r="L58" s="1"/>
    </x:row>
    <x:row r="59">
      <x:c r="A59" s="1"/>
      <x:c r="B59" s="1"/>
      <x:c r="C59" s="1"/>
      <x:c r="D59" s="1"/>
      <x:c r="E59" s="1"/>
      <x:c r="F59" s="1"/>
      <x:c r="G59" s="1"/>
      <x:c r="H59" s="1"/>
      <x:c r="I59" s="1"/>
      <x:c r="J59" s="1"/>
      <x:c r="K59" s="1"/>
      <x:c r="L59" s="1"/>
    </x:row>
    <x:row r="60">
      <x:c r="A60" s="1"/>
      <x:c r="B60" s="1"/>
      <x:c r="C60" s="1"/>
      <x:c r="D60" s="1"/>
      <x:c r="E60" s="1"/>
      <x:c r="F60" s="1"/>
      <x:c r="G60" s="1"/>
      <x:c r="H60" s="1"/>
      <x:c r="I60" s="1"/>
      <x:c r="J60" s="1"/>
      <x:c r="K60" s="1"/>
      <x:c r="L60" s="1"/>
    </x:row>
  </x:sheetData>
  <x:mergeCells>
    <x:mergeCell ref="A1:H1"/>
    <x:mergeCell ref="A2:H2"/>
    <x:mergeCell ref="A4:D4"/>
    <x:mergeCell ref="A14:D14"/>
    <x:mergeCell ref="A22:D22"/>
    <x:mergeCell ref="F4:H4"/>
    <x:mergeCell ref="F17:H21"/>
  </x:mergeCells>
  <x:pageMargins left="0.7" right="0.7" top="0.75" bottom="0.75" header="0.3" footer="0.3"/>
</x:worksheet>
</file>

<file path=xl/worksheets/sheet3.xml><?xml version="1.0" encoding="utf-8"?>
<x:worksheet xmlns:x="http://schemas.openxmlformats.org/spreadsheetml/2006/main">
  <x:sheetViews>
    <x:sheetView showGridLines="0" workbookViewId="0"/>
  </x:sheetViews>
  <x:sheetFormatPr defaultRowHeight="15"/>
  <x:cols>
    <x:col min="1" max="1" width="31" hidden="0" customWidth="1"/>
    <x:col min="2" max="2" width="21" hidden="0" customWidth="1"/>
    <x:col min="5" max="5" width="29" hidden="0" customWidth="1"/>
    <x:col min="6" max="6" width="20" hidden="0" customWidth="1"/>
  </x:cols>
  <x:sheetData>
    <x:row r="1" ht="34" customHeight="1">
      <x:c r="A1" s="5" t="str">
        <x:v>Decision Dashboard</x:v>
      </x:c>
      <x:c r="B1" s="5"/>
      <x:c r="C1" s="5"/>
      <x:c r="D1" s="5"/>
      <x:c r="E1" s="5"/>
      <x:c r="F1" s="5"/>
      <x:c r="G1" s="5"/>
      <x:c r="H1" s="5"/>
      <x:c r="I1" s="1"/>
      <x:c r="J1" s="1"/>
      <x:c r="K1" s="1"/>
      <x:c r="L1" s="1"/>
    </x:row>
    <x:row r="2" ht="28" customHeight="1">
      <x:c r="A2" s="8" t="str">
        <x:v>The workbook compares rental and flip outcomes, identifies the stronger strategy, and shows what needs attention before an offer.</x:v>
      </x:c>
      <x:c r="B2" s="8"/>
      <x:c r="C2" s="8"/>
      <x:c r="D2" s="8"/>
      <x:c r="E2" s="8"/>
      <x:c r="F2" s="8"/>
      <x:c r="G2" s="8"/>
      <x:c r="H2" s="8"/>
      <x:c r="I2" s="1"/>
      <x:c r="J2" s="1"/>
      <x:c r="K2" s="1"/>
      <x:c r="L2" s="1"/>
    </x:row>
    <x:row r="3">
      <x:c r="A3" s="1"/>
      <x:c r="B3" s="1"/>
      <x:c r="C3" s="1"/>
      <x:c r="D3" s="1"/>
      <x:c r="E3" s="1"/>
      <x:c r="F3" s="1"/>
      <x:c r="G3" s="1"/>
      <x:c r="H3" s="1"/>
      <x:c r="I3" s="1"/>
      <x:c r="J3" s="1"/>
      <x:c r="K3" s="1"/>
      <x:c r="L3" s="1"/>
    </x:row>
    <x:row r="4">
      <x:c r="A4" s="88" t="str">
        <x:f>'Property Input'!B5&amp;" — "&amp;'Property Input'!B6</x:f>
        <x:v>Sample Miami Rental — 123 Sample Street</x:v>
      </x:c>
      <x:c r="B4" s="88"/>
      <x:c r="C4" s="88"/>
      <x:c r="D4" s="88"/>
      <x:c r="E4" s="88"/>
      <x:c r="F4" s="88"/>
      <x:c r="G4" s="88"/>
      <x:c r="H4" s="88"/>
      <x:c r="I4" s="1"/>
      <x:c r="J4" s="1"/>
      <x:c r="K4" s="1"/>
      <x:c r="L4" s="1"/>
    </x:row>
    <x:row r="5">
      <x:c r="A5" s="1"/>
      <x:c r="B5" s="1"/>
      <x:c r="C5" s="1"/>
      <x:c r="D5" s="1"/>
      <x:c r="E5" s="1"/>
      <x:c r="F5" s="1"/>
      <x:c r="G5" s="1"/>
      <x:c r="H5" s="1"/>
      <x:c r="I5" s="1"/>
      <x:c r="J5" s="1"/>
      <x:c r="K5" s="1"/>
      <x:c r="L5" s="1"/>
    </x:row>
    <x:row r="6" ht="22" customHeight="1">
      <x:c r="A6" s="22" t="str">
        <x:v>Rental strategy</x:v>
      </x:c>
      <x:c r="B6" s="22"/>
      <x:c r="C6" s="22"/>
      <x:c r="D6" s="22"/>
      <x:c r="E6" s="22" t="str">
        <x:v>Flip strategy</x:v>
      </x:c>
      <x:c r="F6" s="22"/>
      <x:c r="G6" s="22"/>
      <x:c r="H6" s="22"/>
      <x:c r="I6" s="1"/>
      <x:c r="J6" s="1"/>
      <x:c r="K6" s="1"/>
      <x:c r="L6" s="1"/>
    </x:row>
    <x:row r="7">
      <x:c r="A7" s="1" t="str">
        <x:v>Gross scheduled income / year</x:v>
      </x:c>
      <x:c r="B7" s="116" t="n">
        <x:f>('Property Input'!B23+'Property Input'!B24)*12</x:f>
        <x:v>39600</x:v>
      </x:c>
      <x:c r="C7" s="1"/>
      <x:c r="D7" s="1"/>
      <x:c r="E7" s="1" t="str">
        <x:v>Expected sale price</x:v>
      </x:c>
      <x:c r="F7" s="116" t="n">
        <x:f>'Property Input'!B10</x:f>
        <x:v>350000</x:v>
      </x:c>
      <x:c r="G7" s="1"/>
      <x:c r="H7" s="1"/>
      <x:c r="I7" s="1"/>
      <x:c r="J7" s="1"/>
      <x:c r="K7" s="1"/>
      <x:c r="L7" s="1"/>
    </x:row>
    <x:row r="8">
      <x:c r="A8" s="1" t="str">
        <x:v>Effective gross income / year</x:v>
      </x:c>
      <x:c r="B8" s="116" t="n">
        <x:f>B7*(1-'Property Input'!B25)</x:f>
        <x:v>37620</x:v>
      </x:c>
      <x:c r="C8" s="1"/>
      <x:c r="D8" s="1"/>
      <x:c r="E8" s="1" t="str">
        <x:v>Selling costs</x:v>
      </x:c>
      <x:c r="F8" s="116" t="n">
        <x:f>F7*'Property Input'!B12</x:f>
        <x:v>28000</x:v>
      </x:c>
      <x:c r="G8" s="1"/>
      <x:c r="H8" s="1"/>
      <x:c r="I8" s="1"/>
      <x:c r="J8" s="1"/>
      <x:c r="K8" s="1"/>
      <x:c r="L8" s="1"/>
    </x:row>
    <x:row r="9">
      <x:c r="A9" s="1" t="str">
        <x:v>Operating expenses / year</x:v>
      </x:c>
      <x:c r="B9" s="116" t="n">
        <x:f>'Property Input'!B26+'Property Input'!B27+('Property Input'!B28*12)+(B8*('Property Input'!B29+'Property Input'!B30+'Property Input'!B31))</x:f>
        <x:v>13371.599999999999</x:v>
      </x:c>
      <x:c r="C9" s="1"/>
      <x:c r="D9" s="1"/>
      <x:c r="E9" s="1" t="str">
        <x:v>Financing carry</x:v>
      </x:c>
      <x:c r="F9" s="116" t="n">
        <x:f>'Property Input'!B19*'Property Input'!B11</x:f>
        <x:v>8390.57410263335</x:v>
      </x:c>
      <x:c r="G9" s="1"/>
      <x:c r="H9" s="1"/>
      <x:c r="I9" s="1"/>
      <x:c r="J9" s="1"/>
      <x:c r="K9" s="1"/>
      <x:c r="L9" s="1"/>
    </x:row>
    <x:row r="10">
      <x:c r="A10" s="1" t="str">
        <x:v>Net operating income (NOI)</x:v>
      </x:c>
      <x:c r="B10" s="116" t="n">
        <x:f>B8-B9</x:f>
        <x:v>24248.4</x:v>
      </x:c>
      <x:c r="C10" s="1"/>
      <x:c r="D10" s="1"/>
      <x:c r="E10" s="1" t="str">
        <x:v>Taxes / insurance / HOA carry</x:v>
      </x:c>
      <x:c r="F10" s="116" t="n">
        <x:f>(('Property Input'!B26+'Property Input'!B27)/12+'Property Input'!B28)*'Property Input'!B11</x:f>
        <x:v>3300</x:v>
      </x:c>
      <x:c r="G10" s="1"/>
      <x:c r="H10" s="1"/>
      <x:c r="I10" s="1"/>
      <x:c r="J10" s="1"/>
      <x:c r="K10" s="1"/>
      <x:c r="L10" s="1"/>
    </x:row>
    <x:row r="11">
      <x:c r="A11" s="1" t="str">
        <x:v>Cap rate</x:v>
      </x:c>
      <x:c r="B11" s="117" t="n">
        <x:f>IFERROR(B10/'Property Input'!B7,0)</x:f>
        <x:v>0.0969936</x:v>
      </x:c>
      <x:c r="C11" s="1"/>
      <x:c r="D11" s="1"/>
      <x:c r="E11" s="1" t="str">
        <x:v>Total project cost</x:v>
      </x:c>
      <x:c r="F11" s="116" t="n">
        <x:f>'Property Input'!B7+'Property Input'!B8+'Property Input'!B9+'Property Input'!B18+F8+F9+F10</x:f>
        <x:v>332190.57410263334</x:v>
      </x:c>
      <x:c r="G11" s="1"/>
      <x:c r="H11" s="1"/>
      <x:c r="I11" s="1"/>
      <x:c r="J11" s="1"/>
      <x:c r="K11" s="1"/>
      <x:c r="L11" s="1"/>
    </x:row>
    <x:row r="12">
      <x:c r="A12" s="1" t="str">
        <x:v>Annual debt service</x:v>
      </x:c>
      <x:c r="B12" s="116" t="n">
        <x:f>'Property Input'!B19*12</x:f>
        <x:v>16781.1482052667</x:v>
      </x:c>
      <x:c r="C12" s="1"/>
      <x:c r="D12" s="1"/>
      <x:c r="E12" s="1" t="str">
        <x:v>Projected profit</x:v>
      </x:c>
      <x:c r="F12" s="116" t="n">
        <x:f>F7-F11</x:f>
        <x:v>17809.42589736666</x:v>
      </x:c>
      <x:c r="G12" s="1"/>
      <x:c r="H12" s="1"/>
      <x:c r="I12" s="1"/>
      <x:c r="J12" s="1"/>
      <x:c r="K12" s="1"/>
      <x:c r="L12" s="1"/>
    </x:row>
    <x:row r="13">
      <x:c r="A13" s="1" t="str">
        <x:v>Monthly cash flow</x:v>
      </x:c>
      <x:c r="B13" s="116" t="n">
        <x:f>(B10-B12)/12</x:f>
        <x:v>622.2709828944417</x:v>
      </x:c>
      <x:c r="C13" s="1"/>
      <x:c r="D13" s="1"/>
      <x:c r="E13" s="1" t="str">
        <x:v>ROI on cash invested</x:v>
      </x:c>
      <x:c r="F13" s="117" t="n">
        <x:f>IFERROR(F12/(('Property Input'!B7*'Property Input'!B15)+'Property Input'!B8+'Property Input'!B9+'Property Input'!B18+F9+F10),0)</x:f>
        <x:v>0.17093125794492128</x:v>
      </x:c>
      <x:c r="G13" s="1"/>
      <x:c r="H13" s="1"/>
      <x:c r="I13" s="1"/>
      <x:c r="J13" s="1"/>
      <x:c r="K13" s="1"/>
      <x:c r="L13" s="1"/>
    </x:row>
    <x:row r="14">
      <x:c r="A14" s="1" t="str">
        <x:v>Annual cash flow</x:v>
      </x:c>
      <x:c r="B14" s="116" t="n">
        <x:f>B10-B12</x:f>
        <x:v>7467.2517947333</x:v>
      </x:c>
      <x:c r="C14" s="1"/>
      <x:c r="D14" s="1"/>
      <x:c r="E14" s="1" t="str">
        <x:v>Profit margin</x:v>
      </x:c>
      <x:c r="F14" s="117" t="n">
        <x:f>IFERROR(F12/F7,0)</x:f>
        <x:v>0.050884073992476166</x:v>
      </x:c>
      <x:c r="G14" s="1"/>
      <x:c r="H14" s="1"/>
      <x:c r="I14" s="1"/>
      <x:c r="J14" s="1"/>
      <x:c r="K14" s="1"/>
      <x:c r="L14" s="1"/>
    </x:row>
    <x:row r="15">
      <x:c r="A15" s="1" t="str">
        <x:v>Cash invested</x:v>
      </x:c>
      <x:c r="B15" s="116" t="n">
        <x:f>('Property Input'!B7*'Property Input'!B15)+'Property Input'!B8+'Property Input'!B9+'Property Input'!B18</x:f>
        <x:v>92500</x:v>
      </x:c>
      <x:c r="C15" s="1"/>
      <x:c r="D15" s="1"/>
      <x:c r="E15" s="1" t="str">
        <x:v>Maximum allowable offer</x:v>
      </x:c>
      <x:c r="F15" s="116" t="n">
        <x:f>('Property Input'!B10*(1-'Property Input'!B12))-'Property Input'!B9-'Property Input'!B8-'Property Input'!B18-F9-F10-'Property Input'!G8-'Property Input'!G12</x:f>
        <x:v>227809.42589736666</x:v>
      </x:c>
      <x:c r="G15" s="1"/>
      <x:c r="H15" s="1"/>
      <x:c r="I15" s="1"/>
      <x:c r="J15" s="1"/>
      <x:c r="K15" s="1"/>
      <x:c r="L15" s="1"/>
    </x:row>
    <x:row r="16">
      <x:c r="A16" s="1" t="str">
        <x:v>Cash-on-cash return</x:v>
      </x:c>
      <x:c r="B16" s="117" t="n">
        <x:f>IFERROR(B14/B15,0)</x:f>
        <x:v>0.08072704642954918</x:v>
      </x:c>
      <x:c r="C16" s="1"/>
      <x:c r="D16" s="1"/>
      <x:c r="E16" s="1" t="str">
        <x:v>Offer headroom</x:v>
      </x:c>
      <x:c r="F16" s="116" t="n">
        <x:f>F15-'Property Input'!B7</x:f>
        <x:v>-22190.57410263334</x:v>
      </x:c>
      <x:c r="G16" s="1"/>
      <x:c r="H16" s="1"/>
      <x:c r="I16" s="1"/>
      <x:c r="J16" s="1"/>
      <x:c r="K16" s="1"/>
      <x:c r="L16" s="1"/>
    </x:row>
    <x:row r="17">
      <x:c r="A17" s="1" t="str">
        <x:v>DSCR</x:v>
      </x:c>
      <x:c r="B17" s="118" t="n">
        <x:f>IFERROR(B10/B12,0)</x:f>
        <x:v>1.4449785976140614</x:v>
      </x:c>
      <x:c r="C17" s="1"/>
      <x:c r="D17" s="1"/>
      <x:c r="E17" s="1" t="str">
        <x:v>Basis / ARV</x:v>
      </x:c>
      <x:c r="F17" s="117" t="n">
        <x:f>IFERROR(('Property Input'!B7+'Property Input'!B8+'Property Input'!B9)/'Property Input'!B10,0)</x:f>
        <x:v>0.8214285714285714</x:v>
      </x:c>
      <x:c r="G17" s="1"/>
      <x:c r="H17" s="1"/>
      <x:c r="I17" s="1"/>
      <x:c r="J17" s="1"/>
      <x:c r="K17" s="1"/>
      <x:c r="L17" s="1"/>
    </x:row>
    <x:row r="18">
      <x:c r="A18" s="1" t="str">
        <x:v>Basis / ARV</x:v>
      </x:c>
      <x:c r="B18" s="117" t="n">
        <x:f>IFERROR(('Property Input'!B7+'Property Input'!B8+'Property Input'!B9)/'Property Input'!B10,0)</x:f>
        <x:v>0.8214285714285714</x:v>
      </x:c>
      <x:c r="C18" s="1"/>
      <x:c r="D18" s="1"/>
      <x:c r="E18" s="1" t="str">
        <x:v>Break-even sale price</x:v>
      </x:c>
      <x:c r="F18" s="116" t="n">
        <x:f>F11</x:f>
        <x:v>332190.57410263334</x:v>
      </x:c>
      <x:c r="G18" s="1"/>
      <x:c r="H18" s="1"/>
      <x:c r="I18" s="1"/>
      <x:c r="J18" s="1"/>
      <x:c r="K18" s="1"/>
      <x:c r="L18" s="1"/>
    </x:row>
    <x:row r="19">
      <x:c r="A19" s="1" t="str">
        <x:v>Rental score</x:v>
      </x:c>
      <x:c r="B19" s="119" t="n">
        <x:f>ROUND((IF(B13&gt;='Property Input'!G7,25,MAX(0,25*B13/'Property Input'!G7)))+(IF(B16&gt;='Property Input'!G5,25,MAX(0,25*B16/'Property Input'!G5)))+(IF(B17&gt;='Property Input'!G6,25,MAX(0,25*B17/'Property Input'!G6)))+(IF(B18&lt;='Property Input'!G10,25,MAX(0,25*'Property Input'!G10/B18))),0)</x:f>
        <x:v>98</x:v>
      </x:c>
      <x:c r="C19" s="1"/>
      <x:c r="D19" s="1"/>
      <x:c r="E19" s="1" t="str">
        <x:v>Flip score</x:v>
      </x:c>
      <x:c r="F19" s="119" t="n">
        <x:f>ROUND((IF(F12&gt;='Property Input'!G8,25,MAX(0,25*F12/'Property Input'!G8)))+(IF(F13&gt;='Property Input'!G9,25,MAX(0,25*F13/'Property Input'!G9)))+(IF(F16&gt;=0,25,0))+(IF(F17&lt;='Property Input'!G10,25,MAX(0,25*'Property Input'!G10/F17))),0)</x:f>
        <x:v>63</x:v>
      </x:c>
      <x:c r="G19" s="1"/>
      <x:c r="H19" s="1"/>
      <x:c r="I19" s="1"/>
      <x:c r="J19" s="1"/>
      <x:c r="K19" s="1"/>
      <x:c r="L19" s="1"/>
    </x:row>
    <x:row r="20">
      <x:c r="A20" s="1" t="str">
        <x:v>Rental decision</x:v>
      </x:c>
      <x:c r="B20" s="69" t="str">
        <x:f>IF(B19&gt;='Property Input'!G14,"PASS",IF(B19&gt;=60,"REVIEW","FAIL"))</x:f>
        <x:v>PASS</x:v>
      </x:c>
      <x:c r="C20" s="1"/>
      <x:c r="D20" s="1"/>
      <x:c r="E20" s="1" t="str">
        <x:v>Flip decision</x:v>
      </x:c>
      <x:c r="F20" s="69" t="str">
        <x:f>IF(F19&gt;='Property Input'!G14,"PASS",IF(F19&gt;=60,"REVIEW","FAIL"))</x:f>
        <x:v>REVIEW</x:v>
      </x:c>
      <x:c r="G20" s="1"/>
      <x:c r="H20" s="1"/>
      <x:c r="I20" s="1"/>
      <x:c r="J20" s="1"/>
      <x:c r="K20" s="1"/>
      <x:c r="L20" s="1"/>
    </x:row>
    <x:row r="21">
      <x:c r="A21" s="1"/>
      <x:c r="B21" s="1"/>
      <x:c r="C21" s="1"/>
      <x:c r="D21" s="1"/>
      <x:c r="E21" s="1"/>
      <x:c r="F21" s="1"/>
      <x:c r="G21" s="1"/>
      <x:c r="H21" s="1"/>
      <x:c r="I21" s="1"/>
      <x:c r="J21" s="1"/>
      <x:c r="K21" s="1"/>
      <x:c r="L21" s="1"/>
    </x:row>
    <x:row r="22">
      <x:c r="A22" s="1"/>
      <x:c r="B22" s="1"/>
      <x:c r="C22" s="1"/>
      <x:c r="D22" s="1"/>
      <x:c r="E22" s="1"/>
      <x:c r="F22" s="1"/>
      <x:c r="G22" s="1"/>
      <x:c r="H22" s="1"/>
      <x:c r="I22" s="1"/>
      <x:c r="J22" s="1"/>
      <x:c r="K22" s="1"/>
      <x:c r="L22" s="1"/>
    </x:row>
    <x:row r="23" ht="22" customHeight="1">
      <x:c r="A23" s="22" t="str">
        <x:v>Recommendation</x:v>
      </x:c>
      <x:c r="B23" s="22"/>
      <x:c r="C23" s="22"/>
      <x:c r="D23" s="22"/>
      <x:c r="E23" s="22"/>
      <x:c r="F23" s="22"/>
      <x:c r="G23" s="22"/>
      <x:c r="H23" s="22"/>
      <x:c r="I23" s="1"/>
      <x:c r="J23" s="1"/>
      <x:c r="K23" s="1"/>
      <x:c r="L23" s="1"/>
    </x:row>
    <x:row r="24">
      <x:c r="A24" s="1"/>
      <x:c r="B24" s="1"/>
      <x:c r="C24" s="1"/>
      <x:c r="D24" s="1"/>
      <x:c r="E24" s="1"/>
      <x:c r="F24" s="1"/>
      <x:c r="G24" s="1"/>
      <x:c r="H24" s="1"/>
      <x:c r="I24" s="1"/>
      <x:c r="J24" s="1"/>
      <x:c r="K24" s="1"/>
      <x:c r="L24" s="1"/>
    </x:row>
    <x:row r="25" ht="26" customHeight="1">
      <x:c r="A25" s="1" t="str">
        <x:v>Recommended strategy</x:v>
      </x:c>
      <x:c r="B25" s="107" t="str">
        <x:f>IF(B19&gt;F19,"RENTAL",IF(F19&gt;B19,"FLIP","TIE — REVIEW BOTH"))</x:f>
        <x:v>RENTAL</x:v>
      </x:c>
      <x:c r="C25" s="108"/>
      <x:c r="D25" s="109"/>
      <x:c r="E25" s="1"/>
      <x:c r="F25" s="1"/>
      <x:c r="G25" s="1"/>
      <x:c r="H25" s="1"/>
      <x:c r="I25" s="1"/>
      <x:c r="J25" s="1"/>
      <x:c r="K25" s="1"/>
      <x:c r="L25" s="1"/>
    </x:row>
    <x:row r="26" ht="26" customHeight="1">
      <x:c r="A26" s="1" t="str">
        <x:v>Overall decision</x:v>
      </x:c>
      <x:c r="B26" s="110" t="str">
        <x:f>IF(MAX(B19,F19)&gt;='Property Input'!G14,"PROCEED TO DUE DILIGENCE",IF(MAX(B19,F19)&gt;=60,"NEGOTIATE / VERIFY","PASS ON CURRENT TERMS"))</x:f>
        <x:v>PROCEED TO DUE DILIGENCE</x:v>
      </x:c>
      <x:c r="C26" s="111"/>
      <x:c r="D26" s="112"/>
      <x:c r="E26" s="1"/>
      <x:c r="F26" s="1"/>
      <x:c r="G26" s="1"/>
      <x:c r="H26" s="1"/>
      <x:c r="I26" s="1"/>
      <x:c r="J26" s="1"/>
      <x:c r="K26" s="1"/>
      <x:c r="L26" s="1"/>
    </x:row>
    <x:row r="27" ht="26" customHeight="1">
      <x:c r="A27" s="1" t="str">
        <x:v>Best score</x:v>
      </x:c>
      <x:c r="B27" s="120" t="n">
        <x:f>MAX(B19,F19)</x:f>
        <x:v>98</x:v>
      </x:c>
      <x:c r="C27" s="111"/>
      <x:c r="D27" s="112"/>
      <x:c r="E27" s="1"/>
      <x:c r="F27" s="1"/>
      <x:c r="G27" s="1"/>
      <x:c r="H27" s="1"/>
      <x:c r="I27" s="1"/>
      <x:c r="J27" s="1"/>
      <x:c r="K27" s="1"/>
      <x:c r="L27" s="1"/>
    </x:row>
    <x:row r="28" ht="26" customHeight="1">
      <x:c r="A28" s="1" t="str">
        <x:v>Safe offer ceiling</x:v>
      </x:c>
      <x:c r="B28" s="121" t="n">
        <x:f>MIN(F15,'Property Input'!B10*'Property Input'!G10-'Property Input'!B8-'Property Input'!B9-'Property Input'!G12)</x:f>
        <x:v>215000</x:v>
      </x:c>
      <x:c r="C28" s="111"/>
      <x:c r="D28" s="112"/>
      <x:c r="E28" s="1"/>
      <x:c r="F28" s="1"/>
      <x:c r="G28" s="1"/>
      <x:c r="H28" s="1"/>
      <x:c r="I28" s="1"/>
      <x:c r="J28" s="1"/>
      <x:c r="K28" s="1"/>
      <x:c r="L28" s="1"/>
    </x:row>
    <x:row r="29" ht="26" customHeight="1">
      <x:c r="A29" s="1" t="str">
        <x:v>Current price vs ceiling</x:v>
      </x:c>
      <x:c r="B29" s="121" t="n">
        <x:f>B28-'Property Input'!B7</x:f>
        <x:v>-35000</x:v>
      </x:c>
      <x:c r="C29" s="111"/>
      <x:c r="D29" s="112"/>
      <x:c r="E29" s="1"/>
      <x:c r="F29" s="1"/>
      <x:c r="G29" s="1"/>
      <x:c r="H29" s="1"/>
      <x:c r="I29" s="1"/>
      <x:c r="J29" s="1"/>
      <x:c r="K29" s="1"/>
      <x:c r="L29" s="1"/>
    </x:row>
    <x:row r="30" ht="55" customHeight="1">
      <x:c r="A30" s="1" t="str">
        <x:v>One-line explanation</x:v>
      </x:c>
      <x:c r="B30" s="113" t="str">
        <x:f>IF(B26="PROCEED TO DUE DILIGENCE","The numbers clear the screening rules, but inspection, title, rent, financing, and repair assumptions still require verification.",IF(B26="NEGOTIATE / VERIFY","The deal is close, but at least one return or risk threshold needs better terms or stronger evidence.","The current price and assumptions do not provide enough safety margin."))</x:f>
        <x:v>The numbers clear the screening rules, but inspection, title, rent, financing, and repair assumptions still require verification.</x:v>
      </x:c>
      <x:c r="C30" s="114"/>
      <x:c r="D30" s="115"/>
      <x:c r="E30" s="1"/>
      <x:c r="F30" s="1"/>
      <x:c r="G30" s="1"/>
      <x:c r="H30" s="1"/>
      <x:c r="I30" s="1"/>
      <x:c r="J30" s="1"/>
      <x:c r="K30" s="1"/>
      <x:c r="L30" s="1"/>
    </x:row>
    <x:row r="31">
      <x:c r="A31" s="1"/>
      <x:c r="B31" s="1"/>
      <x:c r="C31" s="1"/>
      <x:c r="D31" s="1"/>
      <x:c r="E31" s="1"/>
      <x:c r="F31" s="1"/>
      <x:c r="G31" s="1"/>
      <x:c r="H31" s="1"/>
      <x:c r="I31" s="1"/>
      <x:c r="J31" s="1"/>
      <x:c r="K31" s="1"/>
      <x:c r="L31" s="1"/>
    </x:row>
    <x:row r="32">
      <x:c r="A32" s="1"/>
      <x:c r="B32" s="1"/>
      <x:c r="C32" s="1"/>
      <x:c r="D32" s="1"/>
      <x:c r="E32" s="1"/>
      <x:c r="F32" s="1"/>
      <x:c r="G32" s="1"/>
      <x:c r="H32" s="1"/>
      <x:c r="I32" s="1"/>
      <x:c r="J32" s="1"/>
      <x:c r="K32" s="1"/>
      <x:c r="L32" s="1"/>
    </x:row>
    <x:row r="33">
      <x:c r="A33" s="1"/>
      <x:c r="B33" s="1"/>
      <x:c r="C33" s="1"/>
      <x:c r="D33" s="1"/>
      <x:c r="E33" s="1"/>
      <x:c r="F33" s="1"/>
      <x:c r="G33" s="1"/>
      <x:c r="H33" s="1"/>
      <x:c r="I33" s="1"/>
      <x:c r="J33" s="1"/>
      <x:c r="K33" s="1"/>
      <x:c r="L33" s="1"/>
    </x:row>
    <x:row r="34">
      <x:c r="A34" s="1"/>
      <x:c r="B34" s="1"/>
      <x:c r="C34" s="1"/>
      <x:c r="D34" s="1"/>
      <x:c r="E34" s="1"/>
      <x:c r="F34" s="1"/>
      <x:c r="G34" s="1"/>
      <x:c r="H34" s="1"/>
      <x:c r="I34" s="1"/>
      <x:c r="J34" s="1"/>
      <x:c r="K34" s="1"/>
      <x:c r="L34" s="1"/>
    </x:row>
    <x:row r="35">
      <x:c r="A35" s="1"/>
      <x:c r="B35" s="1"/>
      <x:c r="C35" s="1"/>
      <x:c r="D35" s="1"/>
      <x:c r="E35" s="1"/>
      <x:c r="F35" s="1"/>
      <x:c r="G35" s="1"/>
      <x:c r="H35" s="1"/>
      <x:c r="I35" s="1"/>
      <x:c r="J35" s="1"/>
      <x:c r="K35" s="1"/>
      <x:c r="L35" s="1"/>
    </x:row>
    <x:row r="36">
      <x:c r="A36" s="1"/>
      <x:c r="B36" s="1"/>
      <x:c r="C36" s="1"/>
      <x:c r="D36" s="1"/>
      <x:c r="E36" s="1"/>
      <x:c r="F36" s="1"/>
      <x:c r="G36" s="1"/>
      <x:c r="H36" s="1"/>
      <x:c r="I36" s="1"/>
      <x:c r="J36" s="1"/>
      <x:c r="K36" s="1"/>
      <x:c r="L36" s="1"/>
    </x:row>
    <x:row r="37">
      <x:c r="A37" s="1"/>
      <x:c r="B37" s="1"/>
      <x:c r="C37" s="1"/>
      <x:c r="D37" s="1"/>
      <x:c r="E37" s="1"/>
      <x:c r="F37" s="1"/>
      <x:c r="G37" s="1"/>
      <x:c r="H37" s="1"/>
      <x:c r="I37" s="1"/>
      <x:c r="J37" s="1"/>
      <x:c r="K37" s="1"/>
      <x:c r="L37" s="1"/>
    </x:row>
    <x:row r="38">
      <x:c r="A38" s="1"/>
      <x:c r="B38" s="1"/>
      <x:c r="C38" s="1"/>
      <x:c r="D38" s="1"/>
      <x:c r="E38" s="1"/>
      <x:c r="F38" s="1"/>
      <x:c r="G38" s="1"/>
      <x:c r="H38" s="1"/>
      <x:c r="I38" s="1"/>
      <x:c r="J38" s="1"/>
      <x:c r="K38" s="1"/>
      <x:c r="L38" s="1"/>
    </x:row>
    <x:row r="39">
      <x:c r="A39" s="1"/>
      <x:c r="B39" s="1"/>
      <x:c r="C39" s="1"/>
      <x:c r="D39" s="1"/>
      <x:c r="E39" s="1"/>
      <x:c r="F39" s="1"/>
      <x:c r="G39" s="1"/>
      <x:c r="H39" s="1"/>
      <x:c r="I39" s="1"/>
      <x:c r="J39" s="1"/>
      <x:c r="K39" s="1"/>
      <x:c r="L39" s="1"/>
    </x:row>
    <x:row r="40">
      <x:c r="A40" s="1"/>
      <x:c r="B40" s="1"/>
      <x:c r="C40" s="1"/>
      <x:c r="D40" s="1"/>
      <x:c r="E40" s="1"/>
      <x:c r="F40" s="1"/>
      <x:c r="G40" s="1"/>
      <x:c r="H40" s="1"/>
      <x:c r="I40" s="1"/>
      <x:c r="J40" s="1"/>
      <x:c r="K40" s="1"/>
      <x:c r="L40" s="1"/>
    </x:row>
    <x:row r="41">
      <x:c r="A41" s="1"/>
      <x:c r="B41" s="1"/>
      <x:c r="C41" s="1"/>
      <x:c r="D41" s="1"/>
      <x:c r="E41" s="1"/>
      <x:c r="F41" s="1"/>
      <x:c r="G41" s="1"/>
      <x:c r="H41" s="1"/>
      <x:c r="I41" s="1"/>
      <x:c r="J41" s="1"/>
      <x:c r="K41" s="1"/>
      <x:c r="L41" s="1"/>
    </x:row>
    <x:row r="42">
      <x:c r="A42" s="1"/>
      <x:c r="B42" s="1"/>
      <x:c r="C42" s="1"/>
      <x:c r="D42" s="1"/>
      <x:c r="E42" s="1"/>
      <x:c r="F42" s="1"/>
      <x:c r="G42" s="1"/>
      <x:c r="H42" s="1"/>
      <x:c r="I42" s="1"/>
      <x:c r="J42" s="1"/>
      <x:c r="K42" s="1"/>
      <x:c r="L42" s="1"/>
    </x:row>
    <x:row r="43">
      <x:c r="A43" s="1"/>
      <x:c r="B43" s="1"/>
      <x:c r="C43" s="1"/>
      <x:c r="D43" s="1"/>
      <x:c r="E43" s="1"/>
      <x:c r="F43" s="1"/>
      <x:c r="G43" s="1"/>
      <x:c r="H43" s="1"/>
      <x:c r="I43" s="1"/>
      <x:c r="J43" s="1"/>
      <x:c r="K43" s="1"/>
      <x:c r="L43" s="1"/>
    </x:row>
    <x:row r="44">
      <x:c r="A44" s="1"/>
      <x:c r="B44" s="1"/>
      <x:c r="C44" s="1"/>
      <x:c r="D44" s="1"/>
      <x:c r="E44" s="1"/>
      <x:c r="F44" s="1"/>
      <x:c r="G44" s="1"/>
      <x:c r="H44" s="1"/>
      <x:c r="I44" s="1"/>
      <x:c r="J44" s="1"/>
      <x:c r="K44" s="1"/>
      <x:c r="L44" s="1"/>
    </x:row>
    <x:row r="45">
      <x:c r="A45" s="1"/>
      <x:c r="B45" s="1"/>
      <x:c r="C45" s="1"/>
      <x:c r="D45" s="1"/>
      <x:c r="E45" s="1"/>
      <x:c r="F45" s="1"/>
      <x:c r="G45" s="1"/>
      <x:c r="H45" s="1"/>
      <x:c r="I45" s="1"/>
      <x:c r="J45" s="1"/>
      <x:c r="K45" s="1"/>
      <x:c r="L45" s="1"/>
    </x:row>
    <x:row r="46">
      <x:c r="A46" s="1"/>
      <x:c r="B46" s="1"/>
      <x:c r="C46" s="1"/>
      <x:c r="D46" s="1"/>
      <x:c r="E46" s="1"/>
      <x:c r="F46" s="1"/>
      <x:c r="G46" s="1"/>
      <x:c r="H46" s="1"/>
      <x:c r="I46" s="1"/>
      <x:c r="J46" s="1"/>
      <x:c r="K46" s="1"/>
      <x:c r="L46" s="1"/>
    </x:row>
    <x:row r="47">
      <x:c r="A47" s="1"/>
      <x:c r="B47" s="1"/>
      <x:c r="C47" s="1"/>
      <x:c r="D47" s="1"/>
      <x:c r="E47" s="1"/>
      <x:c r="F47" s="1"/>
      <x:c r="G47" s="1"/>
      <x:c r="H47" s="1"/>
      <x:c r="I47" s="1"/>
      <x:c r="J47" s="1"/>
      <x:c r="K47" s="1"/>
      <x:c r="L47" s="1"/>
    </x:row>
    <x:row r="48">
      <x:c r="A48" s="1"/>
      <x:c r="B48" s="1"/>
      <x:c r="C48" s="1"/>
      <x:c r="D48" s="1"/>
      <x:c r="E48" s="1"/>
      <x:c r="F48" s="1"/>
      <x:c r="G48" s="1"/>
      <x:c r="H48" s="1"/>
      <x:c r="I48" s="1"/>
      <x:c r="J48" s="1"/>
      <x:c r="K48" s="1"/>
      <x:c r="L48" s="1"/>
    </x:row>
    <x:row r="49">
      <x:c r="A49" s="1"/>
      <x:c r="B49" s="1"/>
      <x:c r="C49" s="1"/>
      <x:c r="D49" s="1"/>
      <x:c r="E49" s="1"/>
      <x:c r="F49" s="1"/>
      <x:c r="G49" s="1"/>
      <x:c r="H49" s="1"/>
      <x:c r="I49" s="1"/>
      <x:c r="J49" s="1"/>
      <x:c r="K49" s="1"/>
      <x:c r="L49" s="1"/>
    </x:row>
    <x:row r="50">
      <x:c r="A50" s="1"/>
      <x:c r="B50" s="1"/>
      <x:c r="C50" s="1"/>
      <x:c r="D50" s="1"/>
      <x:c r="E50" s="1"/>
      <x:c r="F50" s="1"/>
      <x:c r="G50" s="1"/>
      <x:c r="H50" s="1"/>
      <x:c r="I50" s="1"/>
      <x:c r="J50" s="1"/>
      <x:c r="K50" s="1"/>
      <x:c r="L50" s="1"/>
    </x:row>
    <x:row r="51">
      <x:c r="A51" s="1"/>
      <x:c r="B51" s="1"/>
      <x:c r="C51" s="1"/>
      <x:c r="D51" s="1"/>
      <x:c r="E51" s="1"/>
      <x:c r="F51" s="1"/>
      <x:c r="G51" s="1"/>
      <x:c r="H51" s="1"/>
      <x:c r="I51" s="1"/>
      <x:c r="J51" s="1"/>
      <x:c r="K51" s="1"/>
      <x:c r="L51" s="1"/>
    </x:row>
    <x:row r="52">
      <x:c r="A52" s="1"/>
      <x:c r="B52" s="1"/>
      <x:c r="C52" s="1"/>
      <x:c r="D52" s="1"/>
      <x:c r="E52" s="1"/>
      <x:c r="F52" s="1"/>
      <x:c r="G52" s="1"/>
      <x:c r="H52" s="1"/>
      <x:c r="I52" s="1"/>
      <x:c r="J52" s="1"/>
      <x:c r="K52" s="1"/>
      <x:c r="L52" s="1"/>
    </x:row>
    <x:row r="53">
      <x:c r="A53" s="1"/>
      <x:c r="B53" s="1"/>
      <x:c r="C53" s="1"/>
      <x:c r="D53" s="1"/>
      <x:c r="E53" s="1"/>
      <x:c r="F53" s="1"/>
      <x:c r="G53" s="1"/>
      <x:c r="H53" s="1"/>
      <x:c r="I53" s="1"/>
      <x:c r="J53" s="1"/>
      <x:c r="K53" s="1"/>
      <x:c r="L53" s="1"/>
    </x:row>
    <x:row r="54">
      <x:c r="A54" s="1"/>
      <x:c r="B54" s="1"/>
      <x:c r="C54" s="1"/>
      <x:c r="D54" s="1"/>
      <x:c r="E54" s="1"/>
      <x:c r="F54" s="1"/>
      <x:c r="G54" s="1"/>
      <x:c r="H54" s="1"/>
      <x:c r="I54" s="1"/>
      <x:c r="J54" s="1"/>
      <x:c r="K54" s="1"/>
      <x:c r="L54" s="1"/>
    </x:row>
    <x:row r="55">
      <x:c r="A55" s="1"/>
      <x:c r="B55" s="1"/>
      <x:c r="C55" s="1"/>
      <x:c r="D55" s="1"/>
      <x:c r="E55" s="1"/>
      <x:c r="F55" s="1"/>
      <x:c r="G55" s="1"/>
      <x:c r="H55" s="1"/>
      <x:c r="I55" s="1"/>
      <x:c r="J55" s="1"/>
      <x:c r="K55" s="1"/>
      <x:c r="L55" s="1"/>
    </x:row>
    <x:row r="56">
      <x:c r="A56" s="1"/>
      <x:c r="B56" s="1"/>
      <x:c r="C56" s="1"/>
      <x:c r="D56" s="1"/>
      <x:c r="E56" s="1"/>
      <x:c r="F56" s="1"/>
      <x:c r="G56" s="1"/>
      <x:c r="H56" s="1"/>
      <x:c r="I56" s="1"/>
      <x:c r="J56" s="1"/>
      <x:c r="K56" s="1"/>
      <x:c r="L56" s="1"/>
    </x:row>
    <x:row r="57">
      <x:c r="A57" s="1"/>
      <x:c r="B57" s="1"/>
      <x:c r="C57" s="1"/>
      <x:c r="D57" s="1"/>
      <x:c r="E57" s="1"/>
      <x:c r="F57" s="1"/>
      <x:c r="G57" s="1"/>
      <x:c r="H57" s="1"/>
      <x:c r="I57" s="1"/>
      <x:c r="J57" s="1"/>
      <x:c r="K57" s="1"/>
      <x:c r="L57" s="1"/>
    </x:row>
    <x:row r="58">
      <x:c r="A58" s="1"/>
      <x:c r="B58" s="1"/>
      <x:c r="C58" s="1"/>
      <x:c r="D58" s="1"/>
      <x:c r="E58" s="1"/>
      <x:c r="F58" s="1"/>
      <x:c r="G58" s="1"/>
      <x:c r="H58" s="1"/>
      <x:c r="I58" s="1"/>
      <x:c r="J58" s="1"/>
      <x:c r="K58" s="1"/>
      <x:c r="L58" s="1"/>
    </x:row>
    <x:row r="59">
      <x:c r="A59" s="1"/>
      <x:c r="B59" s="1"/>
      <x:c r="C59" s="1"/>
      <x:c r="D59" s="1"/>
      <x:c r="E59" s="1"/>
      <x:c r="F59" s="1"/>
      <x:c r="G59" s="1"/>
      <x:c r="H59" s="1"/>
      <x:c r="I59" s="1"/>
      <x:c r="J59" s="1"/>
      <x:c r="K59" s="1"/>
      <x:c r="L59" s="1"/>
    </x:row>
    <x:row r="60">
      <x:c r="A60" s="1"/>
      <x:c r="B60" s="1"/>
      <x:c r="C60" s="1"/>
      <x:c r="D60" s="1"/>
      <x:c r="E60" s="1"/>
      <x:c r="F60" s="1"/>
      <x:c r="G60" s="1"/>
      <x:c r="H60" s="1"/>
      <x:c r="I60" s="1"/>
      <x:c r="J60" s="1"/>
      <x:c r="K60" s="1"/>
      <x:c r="L60" s="1"/>
    </x:row>
  </x:sheetData>
  <x:mergeCells>
    <x:mergeCell ref="A1:H1"/>
    <x:mergeCell ref="A2:H2"/>
    <x:mergeCell ref="A4:H4"/>
    <x:mergeCell ref="A6:D6"/>
    <x:mergeCell ref="E6:H6"/>
    <x:mergeCell ref="A23:H23"/>
    <x:mergeCell ref="B25:D25"/>
    <x:mergeCell ref="B26:D26"/>
    <x:mergeCell ref="B27:D27"/>
    <x:mergeCell ref="B28:D28"/>
    <x:mergeCell ref="B29:D29"/>
    <x:mergeCell ref="B30:D30"/>
  </x:mergeCells>
  <x:conditionalFormatting sqref="B20:B20">
    <x:cfRule type="containsText" dxfId="0" priority="1" operator="containsText" text="PASS"/>
    <x:cfRule type="containsText" dxfId="1" priority="2" operator="containsText" text="REVIEW"/>
    <x:cfRule type="containsText" dxfId="2" priority="3" operator="containsText" text="FAIL"/>
  </x:conditionalFormatting>
  <x:conditionalFormatting sqref="F20:F20">
    <x:cfRule type="containsText" dxfId="3" priority="4" operator="containsText" text="PASS"/>
    <x:cfRule type="containsText" dxfId="4" priority="5" operator="containsText" text="REVIEW"/>
    <x:cfRule type="containsText" dxfId="5" priority="6" operator="containsText" text="FAIL"/>
  </x:conditionalFormatting>
  <x:pageMargins left="0.7" right="0.7" top="0.75" bottom="0.75" header="0.3" footer="0.3"/>
</x:worksheet>
</file>

<file path=xl/worksheets/sheet4.xml><?xml version="1.0" encoding="utf-8"?>
<x:worksheet xmlns:x="http://schemas.openxmlformats.org/spreadsheetml/2006/main">
  <x:sheetViews>
    <x:sheetView showGridLines="0" workbookViewId="0"/>
  </x:sheetViews>
  <x:sheetFormatPr defaultRowHeight="15"/>
  <x:cols>
    <x:col min="1" max="1" width="24" hidden="0" customWidth="1"/>
    <x:col min="2" max="2" width="16" hidden="0" customWidth="1"/>
    <x:col min="3" max="3" width="16" hidden="0" customWidth="1"/>
    <x:col min="4" max="4" width="16" hidden="0" customWidth="1"/>
    <x:col min="5" max="5" width="16" hidden="0" customWidth="1"/>
    <x:col min="6" max="6" width="16" hidden="0" customWidth="1"/>
  </x:cols>
  <x:sheetData>
    <x:row r="1" ht="34" customHeight="1">
      <x:c r="A1" s="5" t="str">
        <x:v>Stress Test</x:v>
      </x:c>
      <x:c r="B1" s="5"/>
      <x:c r="C1" s="5"/>
      <x:c r="D1" s="5"/>
      <x:c r="E1" s="5"/>
      <x:c r="F1" s="5"/>
      <x:c r="G1" s="5"/>
      <x:c r="H1" s="5"/>
      <x:c r="I1" s="1"/>
      <x:c r="J1" s="1"/>
      <x:c r="K1" s="1"/>
      <x:c r="L1" s="1"/>
    </x:row>
    <x:row r="2" ht="28" customHeight="1">
      <x:c r="A2" s="8" t="str">
        <x:v>This table recalculates monthly rental cash flow under weaker rent and higher operating costs. It is formula-driven—not pasted output.</x:v>
      </x:c>
      <x:c r="B2" s="8"/>
      <x:c r="C2" s="8"/>
      <x:c r="D2" s="8"/>
      <x:c r="E2" s="8"/>
      <x:c r="F2" s="8"/>
      <x:c r="G2" s="8"/>
      <x:c r="H2" s="8"/>
      <x:c r="I2" s="1"/>
      <x:c r="J2" s="1"/>
      <x:c r="K2" s="1"/>
      <x:c r="L2" s="1"/>
    </x:row>
    <x:row r="3">
      <x:c r="A3" s="1"/>
      <x:c r="B3" s="1"/>
      <x:c r="C3" s="1"/>
      <x:c r="D3" s="1"/>
      <x:c r="E3" s="1"/>
      <x:c r="F3" s="1"/>
      <x:c r="G3" s="1"/>
      <x:c r="H3" s="1"/>
      <x:c r="I3" s="1"/>
      <x:c r="J3" s="1"/>
      <x:c r="K3" s="1"/>
      <x:c r="L3" s="1"/>
    </x:row>
    <x:row r="4" ht="22" customHeight="1">
      <x:c r="A4" s="22" t="str">
        <x:v>Rental downside matrix — monthly cash flow</x:v>
      </x:c>
      <x:c r="B4" s="22"/>
      <x:c r="C4" s="22"/>
      <x:c r="D4" s="22"/>
      <x:c r="E4" s="22"/>
      <x:c r="F4" s="22"/>
      <x:c r="G4" s="22"/>
      <x:c r="H4" s="22"/>
      <x:c r="I4" s="1"/>
      <x:c r="J4" s="1"/>
      <x:c r="K4" s="1"/>
      <x:c r="L4" s="1"/>
    </x:row>
    <x:row r="5">
      <x:c r="A5" s="1"/>
      <x:c r="B5" s="1"/>
      <x:c r="C5" s="1"/>
      <x:c r="D5" s="1"/>
      <x:c r="E5" s="1"/>
      <x:c r="F5" s="1"/>
      <x:c r="G5" s="1"/>
      <x:c r="H5" s="1"/>
      <x:c r="I5" s="1"/>
      <x:c r="J5" s="1"/>
      <x:c r="K5" s="1"/>
      <x:c r="L5" s="1"/>
    </x:row>
    <x:row r="6">
      <x:c r="A6" s="130" t="str">
        <x:v>Expense increase →</x:v>
      </x:c>
      <x:c r="B6" s="131" t="n">
        <x:v>0</x:v>
      </x:c>
      <x:c r="C6" s="131" t="n">
        <x:v>0.05</x:v>
      </x:c>
      <x:c r="D6" s="131" t="n">
        <x:v>0.1</x:v>
      </x:c>
      <x:c r="E6" s="131" t="n">
        <x:v>0.15</x:v>
      </x:c>
      <x:c r="F6" s="131" t="n">
        <x:v>0.2</x:v>
      </x:c>
      <x:c r="G6" s="1"/>
      <x:c r="H6" s="1"/>
      <x:c r="I6" s="1"/>
      <x:c r="J6" s="1"/>
      <x:c r="K6" s="1"/>
      <x:c r="L6" s="1"/>
    </x:row>
    <x:row r="7">
      <x:c r="A7" s="136" t="str">
        <x:v>Rent decline ↓</x:v>
      </x:c>
      <x:c r="B7" s="27"/>
      <x:c r="C7" s="27"/>
      <x:c r="D7" s="27"/>
      <x:c r="E7" s="27"/>
      <x:c r="F7" s="27"/>
      <x:c r="G7" s="1"/>
      <x:c r="H7" s="1"/>
      <x:c r="I7" s="1"/>
      <x:c r="J7" s="1"/>
      <x:c r="K7" s="1"/>
      <x:c r="L7" s="1"/>
    </x:row>
    <x:row r="8">
      <x:c r="A8" s="137" t="n">
        <x:v>0</x:v>
      </x:c>
      <x:c r="B8" s="125" t="n">
        <x:f>((('Property Input'!B23*(1-$A8)+'Property Input'!B24)*12*(1-'Property Input'!B25))-('Property Input'!B26+'Property Input'!B27+'Property Input'!B28*12+(('Property Input'!B23*(1-$A8)+'Property Input'!B24)*12*(1-'Property Input'!B25))*('Property Input'!B29+'Property Input'!B30+'Property Input'!B31))*(1+B$6)-'Property Input'!B19*12)/12</x:f>
        <x:v>622.2709828944417</x:v>
      </x:c>
      <x:c r="C8" s="125" t="n">
        <x:f>((('Property Input'!B23*(1-$A8)+'Property Input'!B24)*12*(1-'Property Input'!B25))-('Property Input'!B26+'Property Input'!B27+'Property Input'!B28*12+(('Property Input'!B23*(1-$A8)+'Property Input'!B24)*12*(1-'Property Input'!B25))*('Property Input'!B29+'Property Input'!B30+'Property Input'!B31))*(1+C$6)-'Property Input'!B19*12)/12</x:f>
        <x:v>566.5559828944415</x:v>
      </x:c>
      <x:c r="D8" s="125" t="n">
        <x:f>((('Property Input'!B23*(1-$A8)+'Property Input'!B24)*12*(1-'Property Input'!B25))-('Property Input'!B26+'Property Input'!B27+'Property Input'!B28*12+(('Property Input'!B23*(1-$A8)+'Property Input'!B24)*12*(1-'Property Input'!B25))*('Property Input'!B29+'Property Input'!B30+'Property Input'!B31))*(1+D$6)-'Property Input'!B19*12)/12</x:f>
        <x:v>510.84098289444137</x:v>
      </x:c>
      <x:c r="E8" s="125" t="n">
        <x:f>((('Property Input'!B23*(1-$A8)+'Property Input'!B24)*12*(1-'Property Input'!B25))-('Property Input'!B26+'Property Input'!B27+'Property Input'!B28*12+(('Property Input'!B23*(1-$A8)+'Property Input'!B24)*12*(1-'Property Input'!B25))*('Property Input'!B29+'Property Input'!B30+'Property Input'!B31))*(1+E$6)-'Property Input'!B19*12)/12</x:f>
        <x:v>455.12598289444185</x:v>
      </x:c>
      <x:c r="F8" s="125" t="n">
        <x:f>((('Property Input'!B23*(1-$A8)+'Property Input'!B24)*12*(1-'Property Input'!B25))-('Property Input'!B26+'Property Input'!B27+'Property Input'!B28*12+(('Property Input'!B23*(1-$A8)+'Property Input'!B24)*12*(1-'Property Input'!B25))*('Property Input'!B29+'Property Input'!B30+'Property Input'!B31))*(1+F$6)-'Property Input'!B19*12)/12</x:f>
        <x:v>399.4109828944417</x:v>
      </x:c>
      <x:c r="G8" s="1"/>
      <x:c r="H8" s="1"/>
      <x:c r="I8" s="1"/>
      <x:c r="J8" s="1"/>
      <x:c r="K8" s="1"/>
      <x:c r="L8" s="1"/>
    </x:row>
    <x:row r="9">
      <x:c r="A9" s="137" t="n">
        <x:v>0.05</x:v>
      </x:c>
      <x:c r="B9" s="125" t="n">
        <x:f>((('Property Input'!B23*(1-$A9)+'Property Input'!B24)*12*(1-'Property Input'!B25))-('Property Input'!B26+'Property Input'!B27+'Property Input'!B28*12+(('Property Input'!B23*(1-$A9)+'Property Input'!B24)*12*(1-'Property Input'!B25))*('Property Input'!B29+'Property Input'!B30+'Property Input'!B31))*(1+B$6)-'Property Input'!B19*12)/12</x:f>
        <x:v>497.6309828944416</x:v>
      </x:c>
      <x:c r="C9" s="125" t="n">
        <x:f>((('Property Input'!B23*(1-$A9)+'Property Input'!B24)*12*(1-'Property Input'!B25))-('Property Input'!B26+'Property Input'!B27+'Property Input'!B28*12+(('Property Input'!B23*(1-$A9)+'Property Input'!B24)*12*(1-'Property Input'!B25))*('Property Input'!B29+'Property Input'!B30+'Property Input'!B31))*(1+C$6)-'Property Input'!B19*12)/12</x:f>
        <x:v>443.2839828944416</x:v>
      </x:c>
      <x:c r="D9" s="125" t="n">
        <x:f>((('Property Input'!B23*(1-$A9)+'Property Input'!B24)*12*(1-'Property Input'!B25))-('Property Input'!B26+'Property Input'!B27+'Property Input'!B28*12+(('Property Input'!B23*(1-$A9)+'Property Input'!B24)*12*(1-'Property Input'!B25))*('Property Input'!B29+'Property Input'!B30+'Property Input'!B31))*(1+D$6)-'Property Input'!B19*12)/12</x:f>
        <x:v>388.93698289444154</x:v>
      </x:c>
      <x:c r="E9" s="125" t="n">
        <x:f>((('Property Input'!B23*(1-$A9)+'Property Input'!B24)*12*(1-'Property Input'!B25))-('Property Input'!B26+'Property Input'!B27+'Property Input'!B28*12+(('Property Input'!B23*(1-$A9)+'Property Input'!B24)*12*(1-'Property Input'!B25))*('Property Input'!B29+'Property Input'!B30+'Property Input'!B31))*(1+E$6)-'Property Input'!B19*12)/12</x:f>
        <x:v>334.5899828944418</x:v>
      </x:c>
      <x:c r="F9" s="125" t="n">
        <x:f>((('Property Input'!B23*(1-$A9)+'Property Input'!B24)*12*(1-'Property Input'!B25))-('Property Input'!B26+'Property Input'!B27+'Property Input'!B28*12+(('Property Input'!B23*(1-$A9)+'Property Input'!B24)*12*(1-'Property Input'!B25))*('Property Input'!B29+'Property Input'!B30+'Property Input'!B31))*(1+F$6)-'Property Input'!B19*12)/12</x:f>
        <x:v>280.2429828944417</x:v>
      </x:c>
      <x:c r="G9" s="1"/>
      <x:c r="H9" s="1"/>
      <x:c r="I9" s="1"/>
      <x:c r="J9" s="1"/>
      <x:c r="K9" s="1"/>
      <x:c r="L9" s="1"/>
    </x:row>
    <x:row r="10">
      <x:c r="A10" s="137" t="n">
        <x:v>0.1</x:v>
      </x:c>
      <x:c r="B10" s="125" t="n">
        <x:f>((('Property Input'!B23*(1-$A10)+'Property Input'!B24)*12*(1-'Property Input'!B25))-('Property Input'!B26+'Property Input'!B27+'Property Input'!B28*12+(('Property Input'!B23*(1-$A10)+'Property Input'!B24)*12*(1-'Property Input'!B25))*('Property Input'!B29+'Property Input'!B30+'Property Input'!B31))*(1+B$6)-'Property Input'!B19*12)/12</x:f>
        <x:v>372.99098289444163</x:v>
      </x:c>
      <x:c r="C10" s="125" t="n">
        <x:f>((('Property Input'!B23*(1-$A10)+'Property Input'!B24)*12*(1-'Property Input'!B25))-('Property Input'!B26+'Property Input'!B27+'Property Input'!B28*12+(('Property Input'!B23*(1-$A10)+'Property Input'!B24)*12*(1-'Property Input'!B25))*('Property Input'!B29+'Property Input'!B30+'Property Input'!B31))*(1+C$6)-'Property Input'!B19*12)/12</x:f>
        <x:v>320.01198289444164</x:v>
      </x:c>
      <x:c r="D10" s="125" t="n">
        <x:f>((('Property Input'!B23*(1-$A10)+'Property Input'!B24)*12*(1-'Property Input'!B25))-('Property Input'!B26+'Property Input'!B27+'Property Input'!B28*12+(('Property Input'!B23*(1-$A10)+'Property Input'!B24)*12*(1-'Property Input'!B25))*('Property Input'!B29+'Property Input'!B30+'Property Input'!B31))*(1+D$6)-'Property Input'!B19*12)/12</x:f>
        <x:v>267.03298289444166</x:v>
      </x:c>
      <x:c r="E10" s="125" t="n">
        <x:f>((('Property Input'!B23*(1-$A10)+'Property Input'!B24)*12*(1-'Property Input'!B25))-('Property Input'!B26+'Property Input'!B27+'Property Input'!B28*12+(('Property Input'!B23*(1-$A10)+'Property Input'!B24)*12*(1-'Property Input'!B25))*('Property Input'!B29+'Property Input'!B30+'Property Input'!B31))*(1+E$6)-'Property Input'!B19*12)/12</x:f>
        <x:v>214.0539828944417</x:v>
      </x:c>
      <x:c r="F10" s="125" t="n">
        <x:f>((('Property Input'!B23*(1-$A10)+'Property Input'!B24)*12*(1-'Property Input'!B25))-('Property Input'!B26+'Property Input'!B27+'Property Input'!B28*12+(('Property Input'!B23*(1-$A10)+'Property Input'!B24)*12*(1-'Property Input'!B25))*('Property Input'!B29+'Property Input'!B30+'Property Input'!B31))*(1+F$6)-'Property Input'!B19*12)/12</x:f>
        <x:v>161.07498289444175</x:v>
      </x:c>
      <x:c r="G10" s="1"/>
      <x:c r="H10" s="1"/>
      <x:c r="I10" s="1"/>
      <x:c r="J10" s="1"/>
      <x:c r="K10" s="1"/>
      <x:c r="L10" s="1"/>
    </x:row>
    <x:row r="11">
      <x:c r="A11" s="137" t="n">
        <x:v>0.15</x:v>
      </x:c>
      <x:c r="B11" s="125" t="n">
        <x:f>((('Property Input'!B23*(1-$A11)+'Property Input'!B24)*12*(1-'Property Input'!B25))-('Property Input'!B26+'Property Input'!B27+'Property Input'!B28*12+(('Property Input'!B23*(1-$A11)+'Property Input'!B24)*12*(1-'Property Input'!B25))*('Property Input'!B29+'Property Input'!B30+'Property Input'!B31))*(1+B$6)-'Property Input'!B19*12)/12</x:f>
        <x:v>248.3509828944416</x:v>
      </x:c>
      <x:c r="C11" s="125" t="n">
        <x:f>((('Property Input'!B23*(1-$A11)+'Property Input'!B24)*12*(1-'Property Input'!B25))-('Property Input'!B26+'Property Input'!B27+'Property Input'!B28*12+(('Property Input'!B23*(1-$A11)+'Property Input'!B24)*12*(1-'Property Input'!B25))*('Property Input'!B29+'Property Input'!B30+'Property Input'!B31))*(1+C$6)-'Property Input'!B19*12)/12</x:f>
        <x:v>196.7399828944414</x:v>
      </x:c>
      <x:c r="D11" s="125" t="n">
        <x:f>((('Property Input'!B23*(1-$A11)+'Property Input'!B24)*12*(1-'Property Input'!B25))-('Property Input'!B26+'Property Input'!B27+'Property Input'!B28*12+(('Property Input'!B23*(1-$A11)+'Property Input'!B24)*12*(1-'Property Input'!B25))*('Property Input'!B29+'Property Input'!B30+'Property Input'!B31))*(1+D$6)-'Property Input'!B19*12)/12</x:f>
        <x:v>145.12898289444152</x:v>
      </x:c>
      <x:c r="E11" s="125" t="n">
        <x:f>((('Property Input'!B23*(1-$A11)+'Property Input'!B24)*12*(1-'Property Input'!B25))-('Property Input'!B26+'Property Input'!B27+'Property Input'!B28*12+(('Property Input'!B23*(1-$A11)+'Property Input'!B24)*12*(1-'Property Input'!B25))*('Property Input'!B29+'Property Input'!B30+'Property Input'!B31))*(1+E$6)-'Property Input'!B19*12)/12</x:f>
        <x:v>93.51798289444166</x:v>
      </x:c>
      <x:c r="F11" s="125" t="n">
        <x:f>((('Property Input'!B23*(1-$A11)+'Property Input'!B24)*12*(1-'Property Input'!B25))-('Property Input'!B26+'Property Input'!B27+'Property Input'!B28*12+(('Property Input'!B23*(1-$A11)+'Property Input'!B24)*12*(1-'Property Input'!B25))*('Property Input'!B29+'Property Input'!B30+'Property Input'!B31))*(1+F$6)-'Property Input'!B19*12)/12</x:f>
        <x:v>41.90698289444148</x:v>
      </x:c>
      <x:c r="G11" s="1"/>
      <x:c r="H11" s="1"/>
      <x:c r="I11" s="1"/>
      <x:c r="J11" s="1"/>
      <x:c r="K11" s="1"/>
      <x:c r="L11" s="1"/>
    </x:row>
    <x:row r="12">
      <x:c r="A12" s="137" t="n">
        <x:v>0.2</x:v>
      </x:c>
      <x:c r="B12" s="125" t="n">
        <x:f>((('Property Input'!B23*(1-$A12)+'Property Input'!B24)*12*(1-'Property Input'!B25))-('Property Input'!B26+'Property Input'!B27+'Property Input'!B28*12+(('Property Input'!B23*(1-$A12)+'Property Input'!B24)*12*(1-'Property Input'!B25))*('Property Input'!B29+'Property Input'!B30+'Property Input'!B31))*(1+B$6)-'Property Input'!B19*12)/12</x:f>
        <x:v>123.71098289444156</x:v>
      </x:c>
      <x:c r="C12" s="125" t="n">
        <x:f>((('Property Input'!B23*(1-$A12)+'Property Input'!B24)*12*(1-'Property Input'!B25))-('Property Input'!B26+'Property Input'!B27+'Property Input'!B28*12+(('Property Input'!B23*(1-$A12)+'Property Input'!B24)*12*(1-'Property Input'!B25))*('Property Input'!B29+'Property Input'!B30+'Property Input'!B31))*(1+C$6)-'Property Input'!B19*12)/12</x:f>
        <x:v>73.46798289444148</x:v>
      </x:c>
      <x:c r="D12" s="125" t="n">
        <x:f>((('Property Input'!B23*(1-$A12)+'Property Input'!B24)*12*(1-'Property Input'!B25))-('Property Input'!B26+'Property Input'!B27+'Property Input'!B28*12+(('Property Input'!B23*(1-$A12)+'Property Input'!B24)*12*(1-'Property Input'!B25))*('Property Input'!B29+'Property Input'!B30+'Property Input'!B31))*(1+D$6)-'Property Input'!B19*12)/12</x:f>
        <x:v>23.224982894441382</x:v>
      </x:c>
      <x:c r="E12" s="125" t="n">
        <x:f>((('Property Input'!B23*(1-$A12)+'Property Input'!B24)*12*(1-'Property Input'!B25))-('Property Input'!B26+'Property Input'!B27+'Property Input'!B28*12+(('Property Input'!B23*(1-$A12)+'Property Input'!B24)*12*(1-'Property Input'!B25))*('Property Input'!B29+'Property Input'!B30+'Property Input'!B31))*(1+E$6)-'Property Input'!B19*12)/12</x:f>
        <x:v>-27.018017105558403</x:v>
      </x:c>
      <x:c r="F12" s="125" t="n">
        <x:f>((('Property Input'!B23*(1-$A12)+'Property Input'!B24)*12*(1-'Property Input'!B25))-('Property Input'!B26+'Property Input'!B27+'Property Input'!B28*12+(('Property Input'!B23*(1-$A12)+'Property Input'!B24)*12*(1-'Property Input'!B25))*('Property Input'!B29+'Property Input'!B30+'Property Input'!B31))*(1+F$6)-'Property Input'!B19*12)/12</x:f>
        <x:v>-77.26101710555834</x:v>
      </x:c>
      <x:c r="G12" s="1"/>
      <x:c r="H12" s="1"/>
      <x:c r="I12" s="1"/>
      <x:c r="J12" s="1"/>
      <x:c r="K12" s="1"/>
      <x:c r="L12" s="1"/>
    </x:row>
    <x:row r="13">
      <x:c r="A13" s="1"/>
      <x:c r="B13" s="1"/>
      <x:c r="C13" s="1"/>
      <x:c r="D13" s="1"/>
      <x:c r="E13" s="1"/>
      <x:c r="F13" s="1"/>
      <x:c r="G13" s="1"/>
      <x:c r="H13" s="1"/>
      <x:c r="I13" s="1"/>
      <x:c r="J13" s="1"/>
      <x:c r="K13" s="1"/>
      <x:c r="L13" s="1"/>
    </x:row>
    <x:row r="14">
      <x:c r="A14" s="1"/>
      <x:c r="B14" s="1"/>
      <x:c r="C14" s="1"/>
      <x:c r="D14" s="1"/>
      <x:c r="E14" s="1"/>
      <x:c r="F14" s="1"/>
      <x:c r="G14" s="1"/>
      <x:c r="H14" s="1"/>
      <x:c r="I14" s="1"/>
      <x:c r="J14" s="1"/>
      <x:c r="K14" s="1"/>
      <x:c r="L14" s="1"/>
    </x:row>
    <x:row r="15" ht="22" customHeight="1">
      <x:c r="A15" s="22" t="str">
        <x:v>Flip downside scenarios</x:v>
      </x:c>
      <x:c r="B15" s="22"/>
      <x:c r="C15" s="22"/>
      <x:c r="D15" s="22"/>
      <x:c r="E15" s="22"/>
      <x:c r="F15" s="22"/>
      <x:c r="G15" s="22"/>
      <x:c r="H15" s="22"/>
      <x:c r="I15" s="1"/>
      <x:c r="J15" s="1"/>
      <x:c r="K15" s="1"/>
      <x:c r="L15" s="1"/>
    </x:row>
    <x:row r="16">
      <x:c r="A16" s="1"/>
      <x:c r="B16" s="1"/>
      <x:c r="C16" s="1"/>
      <x:c r="D16" s="1"/>
      <x:c r="E16" s="1"/>
      <x:c r="F16" s="1"/>
      <x:c r="G16" s="1"/>
      <x:c r="H16" s="1"/>
      <x:c r="I16" s="1"/>
      <x:c r="J16" s="1"/>
      <x:c r="K16" s="1"/>
      <x:c r="L16" s="1"/>
    </x:row>
    <x:row r="17">
      <x:c r="A17" s="130" t="str">
        <x:v>Scenario</x:v>
      </x:c>
      <x:c r="B17" s="130" t="str">
        <x:v>Sale price vs ARV</x:v>
      </x:c>
      <x:c r="C17" s="130" t="str">
        <x:v>Repairs vs budget</x:v>
      </x:c>
      <x:c r="D17" s="130" t="str">
        <x:v>Projected profit</x:v>
      </x:c>
      <x:c r="E17" s="1"/>
      <x:c r="F17" s="1"/>
      <x:c r="G17" s="1"/>
      <x:c r="H17" s="1"/>
      <x:c r="I17" s="1"/>
      <x:c r="J17" s="1"/>
      <x:c r="K17" s="1"/>
      <x:c r="L17" s="1"/>
    </x:row>
    <x:row r="18">
      <x:c r="A18" s="27" t="str">
        <x:v>Base</x:v>
      </x:c>
      <x:c r="B18" s="124" t="n">
        <x:v>1</x:v>
      </x:c>
      <x:c r="C18" s="124" t="n">
        <x:v>1</x:v>
      </x:c>
      <x:c r="D18" s="125" t="n">
        <x:f>('Property Input'!B10*B18)-(('Property Input'!B10*B18)*'Property Input'!B12)-'Property Input'!B7-'Property Input'!B8-('Property Input'!B9*C18)-'Property Input'!B18-'Analysis'!F9-'Analysis'!F10</x:f>
        <x:v>17809.42589736665</x:v>
      </x:c>
      <x:c r="E18" s="1"/>
      <x:c r="F18" s="1"/>
      <x:c r="G18" s="1"/>
      <x:c r="H18" s="1"/>
      <x:c r="I18" s="1"/>
      <x:c r="J18" s="1"/>
      <x:c r="K18" s="1"/>
      <x:c r="L18" s="1"/>
    </x:row>
    <x:row r="19">
      <x:c r="A19" s="27" t="str">
        <x:v>Mild downside</x:v>
      </x:c>
      <x:c r="B19" s="124" t="n">
        <x:v>0.95</x:v>
      </x:c>
      <x:c r="C19" s="124" t="n">
        <x:v>1.1</x:v>
      </x:c>
      <x:c r="D19" s="125" t="n">
        <x:f>('Property Input'!B10*B19)-(('Property Input'!B10*B19)*'Property Input'!B12)-'Property Input'!B7-'Property Input'!B8-('Property Input'!B9*C19)-'Property Input'!B18-'Analysis'!F9-'Analysis'!F10</x:f>
        <x:v>-1290.5741026333508</x:v>
      </x:c>
      <x:c r="E19" s="1"/>
      <x:c r="F19" s="1"/>
      <x:c r="G19" s="1"/>
      <x:c r="H19" s="1"/>
      <x:c r="I19" s="1"/>
      <x:c r="J19" s="1"/>
      <x:c r="K19" s="1"/>
      <x:c r="L19" s="1"/>
    </x:row>
    <x:row r="20">
      <x:c r="A20" s="27" t="str">
        <x:v>Hard downside</x:v>
      </x:c>
      <x:c r="B20" s="124" t="n">
        <x:v>0.9</x:v>
      </x:c>
      <x:c r="C20" s="124" t="n">
        <x:v>1.2</x:v>
      </x:c>
      <x:c r="D20" s="125" t="n">
        <x:f>('Property Input'!B10*B20)-(('Property Input'!B10*B20)*'Property Input'!B12)-'Property Input'!B7-'Property Input'!B8-('Property Input'!B9*C20)-'Property Input'!B18-'Analysis'!F9-'Analysis'!F10</x:f>
        <x:v>-20390.57410263335</x:v>
      </x:c>
      <x:c r="E20" s="1"/>
      <x:c r="F20" s="1"/>
      <x:c r="G20" s="1"/>
      <x:c r="H20" s="1"/>
      <x:c r="I20" s="1"/>
      <x:c r="J20" s="1"/>
      <x:c r="K20" s="1"/>
      <x:c r="L20" s="1"/>
    </x:row>
    <x:row r="21">
      <x:c r="A21" s="27" t="str">
        <x:v>Severe downside</x:v>
      </x:c>
      <x:c r="B21" s="124" t="n">
        <x:v>0.85</x:v>
      </x:c>
      <x:c r="C21" s="124" t="n">
        <x:v>1.3</x:v>
      </x:c>
      <x:c r="D21" s="125" t="n">
        <x:f>('Property Input'!B10*B21)-(('Property Input'!B10*B21)*'Property Input'!B12)-'Property Input'!B7-'Property Input'!B8-('Property Input'!B9*C21)-'Property Input'!B18-'Analysis'!F9-'Analysis'!F10</x:f>
        <x:v>-39490.57410263335</x:v>
      </x:c>
      <x:c r="E21" s="1"/>
      <x:c r="F21" s="1"/>
      <x:c r="G21" s="1"/>
      <x:c r="H21" s="1"/>
      <x:c r="I21" s="1"/>
      <x:c r="J21" s="1"/>
      <x:c r="K21" s="1"/>
      <x:c r="L21" s="1"/>
    </x:row>
    <x:row r="22">
      <x:c r="A22" s="1"/>
      <x:c r="B22" s="1"/>
      <x:c r="C22" s="1"/>
      <x:c r="D22" s="1"/>
      <x:c r="E22" s="1"/>
      <x:c r="F22" s="1"/>
      <x:c r="G22" s="1"/>
      <x:c r="H22" s="1"/>
      <x:c r="I22" s="1"/>
      <x:c r="J22" s="1"/>
      <x:c r="K22" s="1"/>
      <x:c r="L22" s="1"/>
    </x:row>
    <x:row r="23">
      <x:c r="A23" s="1"/>
      <x:c r="B23" s="1"/>
      <x:c r="C23" s="1"/>
      <x:c r="D23" s="1"/>
      <x:c r="E23" s="1"/>
      <x:c r="F23" s="1"/>
      <x:c r="G23" s="1"/>
      <x:c r="H23" s="1"/>
      <x:c r="I23" s="1"/>
      <x:c r="J23" s="1"/>
      <x:c r="K23" s="1"/>
      <x:c r="L23" s="1"/>
    </x:row>
    <x:row r="24">
      <x:c r="A24" s="1"/>
      <x:c r="B24" s="1"/>
      <x:c r="C24" s="1"/>
      <x:c r="D24" s="1"/>
      <x:c r="E24" s="1"/>
      <x:c r="F24" s="1"/>
      <x:c r="G24" s="1"/>
      <x:c r="H24" s="1"/>
      <x:c r="I24" s="1"/>
      <x:c r="J24" s="1"/>
      <x:c r="K24" s="1"/>
      <x:c r="L24" s="1"/>
    </x:row>
    <x:row r="25">
      <x:c r="A25" s="1"/>
      <x:c r="B25" s="1"/>
      <x:c r="C25" s="1"/>
      <x:c r="D25" s="1"/>
      <x:c r="E25" s="1"/>
      <x:c r="F25" s="1"/>
      <x:c r="G25" s="1"/>
      <x:c r="H25" s="1"/>
      <x:c r="I25" s="1"/>
      <x:c r="J25" s="1"/>
      <x:c r="K25" s="1"/>
      <x:c r="L25" s="1"/>
    </x:row>
    <x:row r="26">
      <x:c r="A26" s="1"/>
      <x:c r="B26" s="1"/>
      <x:c r="C26" s="1"/>
      <x:c r="D26" s="1"/>
      <x:c r="E26" s="1"/>
      <x:c r="F26" s="1"/>
      <x:c r="G26" s="1"/>
      <x:c r="H26" s="1"/>
      <x:c r="I26" s="1"/>
      <x:c r="J26" s="1"/>
      <x:c r="K26" s="1"/>
      <x:c r="L26" s="1"/>
    </x:row>
    <x:row r="27">
      <x:c r="A27" s="1"/>
      <x:c r="B27" s="1"/>
      <x:c r="C27" s="1"/>
      <x:c r="D27" s="1"/>
      <x:c r="E27" s="1"/>
      <x:c r="F27" s="1"/>
      <x:c r="G27" s="1"/>
      <x:c r="H27" s="1"/>
      <x:c r="I27" s="1"/>
      <x:c r="J27" s="1"/>
      <x:c r="K27" s="1"/>
      <x:c r="L27" s="1"/>
    </x:row>
    <x:row r="28">
      <x:c r="A28" s="1"/>
      <x:c r="B28" s="1"/>
      <x:c r="C28" s="1"/>
      <x:c r="D28" s="1"/>
      <x:c r="E28" s="1"/>
      <x:c r="F28" s="1"/>
      <x:c r="G28" s="1"/>
      <x:c r="H28" s="1"/>
      <x:c r="I28" s="1"/>
      <x:c r="J28" s="1"/>
      <x:c r="K28" s="1"/>
      <x:c r="L28" s="1"/>
    </x:row>
    <x:row r="29">
      <x:c r="A29" s="1"/>
      <x:c r="B29" s="1"/>
      <x:c r="C29" s="1"/>
      <x:c r="D29" s="1"/>
      <x:c r="E29" s="1"/>
      <x:c r="F29" s="1"/>
      <x:c r="G29" s="1"/>
      <x:c r="H29" s="1"/>
      <x:c r="I29" s="1"/>
      <x:c r="J29" s="1"/>
      <x:c r="K29" s="1"/>
      <x:c r="L29" s="1"/>
    </x:row>
    <x:row r="30">
      <x:c r="A30" s="1"/>
      <x:c r="B30" s="1"/>
      <x:c r="C30" s="1"/>
      <x:c r="D30" s="1"/>
      <x:c r="E30" s="1"/>
      <x:c r="F30" s="1"/>
      <x:c r="G30" s="1"/>
      <x:c r="H30" s="1"/>
      <x:c r="I30" s="1"/>
      <x:c r="J30" s="1"/>
      <x:c r="K30" s="1"/>
      <x:c r="L30" s="1"/>
    </x:row>
    <x:row r="31">
      <x:c r="A31" s="1"/>
      <x:c r="B31" s="1"/>
      <x:c r="C31" s="1"/>
      <x:c r="D31" s="1"/>
      <x:c r="E31" s="1"/>
      <x:c r="F31" s="1"/>
      <x:c r="G31" s="1"/>
      <x:c r="H31" s="1"/>
      <x:c r="I31" s="1"/>
      <x:c r="J31" s="1"/>
      <x:c r="K31" s="1"/>
      <x:c r="L31" s="1"/>
    </x:row>
    <x:row r="32">
      <x:c r="A32" s="1"/>
      <x:c r="B32" s="1"/>
      <x:c r="C32" s="1"/>
      <x:c r="D32" s="1"/>
      <x:c r="E32" s="1"/>
      <x:c r="F32" s="1"/>
      <x:c r="G32" s="1"/>
      <x:c r="H32" s="1"/>
      <x:c r="I32" s="1"/>
      <x:c r="J32" s="1"/>
      <x:c r="K32" s="1"/>
      <x:c r="L32" s="1"/>
    </x:row>
    <x:row r="33">
      <x:c r="A33" s="1"/>
      <x:c r="B33" s="1"/>
      <x:c r="C33" s="1"/>
      <x:c r="D33" s="1"/>
      <x:c r="E33" s="1"/>
      <x:c r="F33" s="1"/>
      <x:c r="G33" s="1"/>
      <x:c r="H33" s="1"/>
      <x:c r="I33" s="1"/>
      <x:c r="J33" s="1"/>
      <x:c r="K33" s="1"/>
      <x:c r="L33" s="1"/>
    </x:row>
    <x:row r="34">
      <x:c r="A34" s="1"/>
      <x:c r="B34" s="1"/>
      <x:c r="C34" s="1"/>
      <x:c r="D34" s="1"/>
      <x:c r="E34" s="1"/>
      <x:c r="F34" s="1"/>
      <x:c r="G34" s="1"/>
      <x:c r="H34" s="1"/>
      <x:c r="I34" s="1"/>
      <x:c r="J34" s="1"/>
      <x:c r="K34" s="1"/>
      <x:c r="L34" s="1"/>
    </x:row>
    <x:row r="35">
      <x:c r="A35" s="1"/>
      <x:c r="B35" s="1"/>
      <x:c r="C35" s="1"/>
      <x:c r="D35" s="1"/>
      <x:c r="E35" s="1"/>
      <x:c r="F35" s="1"/>
      <x:c r="G35" s="1"/>
      <x:c r="H35" s="1"/>
      <x:c r="I35" s="1"/>
      <x:c r="J35" s="1"/>
      <x:c r="K35" s="1"/>
      <x:c r="L35" s="1"/>
    </x:row>
    <x:row r="36">
      <x:c r="A36" s="1"/>
      <x:c r="B36" s="1"/>
      <x:c r="C36" s="1"/>
      <x:c r="D36" s="1"/>
      <x:c r="E36" s="1"/>
      <x:c r="F36" s="1"/>
      <x:c r="G36" s="1"/>
      <x:c r="H36" s="1"/>
      <x:c r="I36" s="1"/>
      <x:c r="J36" s="1"/>
      <x:c r="K36" s="1"/>
      <x:c r="L36" s="1"/>
    </x:row>
    <x:row r="37">
      <x:c r="A37" s="1"/>
      <x:c r="B37" s="1"/>
      <x:c r="C37" s="1"/>
      <x:c r="D37" s="1"/>
      <x:c r="E37" s="1"/>
      <x:c r="F37" s="1"/>
      <x:c r="G37" s="1"/>
      <x:c r="H37" s="1"/>
      <x:c r="I37" s="1"/>
      <x:c r="J37" s="1"/>
      <x:c r="K37" s="1"/>
      <x:c r="L37" s="1"/>
    </x:row>
    <x:row r="38">
      <x:c r="A38" s="1"/>
      <x:c r="B38" s="1"/>
      <x:c r="C38" s="1"/>
      <x:c r="D38" s="1"/>
      <x:c r="E38" s="1"/>
      <x:c r="F38" s="1"/>
      <x:c r="G38" s="1"/>
      <x:c r="H38" s="1"/>
      <x:c r="I38" s="1"/>
      <x:c r="J38" s="1"/>
      <x:c r="K38" s="1"/>
      <x:c r="L38" s="1"/>
    </x:row>
    <x:row r="39">
      <x:c r="A39" s="1"/>
      <x:c r="B39" s="1"/>
      <x:c r="C39" s="1"/>
      <x:c r="D39" s="1"/>
      <x:c r="E39" s="1"/>
      <x:c r="F39" s="1"/>
      <x:c r="G39" s="1"/>
      <x:c r="H39" s="1"/>
      <x:c r="I39" s="1"/>
      <x:c r="J39" s="1"/>
      <x:c r="K39" s="1"/>
      <x:c r="L39" s="1"/>
    </x:row>
    <x:row r="40">
      <x:c r="A40" s="1"/>
      <x:c r="B40" s="1"/>
      <x:c r="C40" s="1"/>
      <x:c r="D40" s="1"/>
      <x:c r="E40" s="1"/>
      <x:c r="F40" s="1"/>
      <x:c r="G40" s="1"/>
      <x:c r="H40" s="1"/>
      <x:c r="I40" s="1"/>
      <x:c r="J40" s="1"/>
      <x:c r="K40" s="1"/>
      <x:c r="L40" s="1"/>
    </x:row>
    <x:row r="41">
      <x:c r="A41" s="1"/>
      <x:c r="B41" s="1"/>
      <x:c r="C41" s="1"/>
      <x:c r="D41" s="1"/>
      <x:c r="E41" s="1"/>
      <x:c r="F41" s="1"/>
      <x:c r="G41" s="1"/>
      <x:c r="H41" s="1"/>
      <x:c r="I41" s="1"/>
      <x:c r="J41" s="1"/>
      <x:c r="K41" s="1"/>
      <x:c r="L41" s="1"/>
    </x:row>
    <x:row r="42">
      <x:c r="A42" s="1"/>
      <x:c r="B42" s="1"/>
      <x:c r="C42" s="1"/>
      <x:c r="D42" s="1"/>
      <x:c r="E42" s="1"/>
      <x:c r="F42" s="1"/>
      <x:c r="G42" s="1"/>
      <x:c r="H42" s="1"/>
      <x:c r="I42" s="1"/>
      <x:c r="J42" s="1"/>
      <x:c r="K42" s="1"/>
      <x:c r="L42" s="1"/>
    </x:row>
    <x:row r="43">
      <x:c r="A43" s="1"/>
      <x:c r="B43" s="1"/>
      <x:c r="C43" s="1"/>
      <x:c r="D43" s="1"/>
      <x:c r="E43" s="1"/>
      <x:c r="F43" s="1"/>
      <x:c r="G43" s="1"/>
      <x:c r="H43" s="1"/>
      <x:c r="I43" s="1"/>
      <x:c r="J43" s="1"/>
      <x:c r="K43" s="1"/>
      <x:c r="L43" s="1"/>
    </x:row>
    <x:row r="44">
      <x:c r="A44" s="1"/>
      <x:c r="B44" s="1"/>
      <x:c r="C44" s="1"/>
      <x:c r="D44" s="1"/>
      <x:c r="E44" s="1"/>
      <x:c r="F44" s="1"/>
      <x:c r="G44" s="1"/>
      <x:c r="H44" s="1"/>
      <x:c r="I44" s="1"/>
      <x:c r="J44" s="1"/>
      <x:c r="K44" s="1"/>
      <x:c r="L44" s="1"/>
    </x:row>
    <x:row r="45">
      <x:c r="A45" s="1"/>
      <x:c r="B45" s="1"/>
      <x:c r="C45" s="1"/>
      <x:c r="D45" s="1"/>
      <x:c r="E45" s="1"/>
      <x:c r="F45" s="1"/>
      <x:c r="G45" s="1"/>
      <x:c r="H45" s="1"/>
      <x:c r="I45" s="1"/>
      <x:c r="J45" s="1"/>
      <x:c r="K45" s="1"/>
      <x:c r="L45" s="1"/>
    </x:row>
    <x:row r="46">
      <x:c r="A46" s="1"/>
      <x:c r="B46" s="1"/>
      <x:c r="C46" s="1"/>
      <x:c r="D46" s="1"/>
      <x:c r="E46" s="1"/>
      <x:c r="F46" s="1"/>
      <x:c r="G46" s="1"/>
      <x:c r="H46" s="1"/>
      <x:c r="I46" s="1"/>
      <x:c r="J46" s="1"/>
      <x:c r="K46" s="1"/>
      <x:c r="L46" s="1"/>
    </x:row>
    <x:row r="47">
      <x:c r="A47" s="1"/>
      <x:c r="B47" s="1"/>
      <x:c r="C47" s="1"/>
      <x:c r="D47" s="1"/>
      <x:c r="E47" s="1"/>
      <x:c r="F47" s="1"/>
      <x:c r="G47" s="1"/>
      <x:c r="H47" s="1"/>
      <x:c r="I47" s="1"/>
      <x:c r="J47" s="1"/>
      <x:c r="K47" s="1"/>
      <x:c r="L47" s="1"/>
    </x:row>
    <x:row r="48">
      <x:c r="A48" s="1"/>
      <x:c r="B48" s="1"/>
      <x:c r="C48" s="1"/>
      <x:c r="D48" s="1"/>
      <x:c r="E48" s="1"/>
      <x:c r="F48" s="1"/>
      <x:c r="G48" s="1"/>
      <x:c r="H48" s="1"/>
      <x:c r="I48" s="1"/>
      <x:c r="J48" s="1"/>
      <x:c r="K48" s="1"/>
      <x:c r="L48" s="1"/>
    </x:row>
    <x:row r="49">
      <x:c r="A49" s="1"/>
      <x:c r="B49" s="1"/>
      <x:c r="C49" s="1"/>
      <x:c r="D49" s="1"/>
      <x:c r="E49" s="1"/>
      <x:c r="F49" s="1"/>
      <x:c r="G49" s="1"/>
      <x:c r="H49" s="1"/>
      <x:c r="I49" s="1"/>
      <x:c r="J49" s="1"/>
      <x:c r="K49" s="1"/>
      <x:c r="L49" s="1"/>
    </x:row>
    <x:row r="50">
      <x:c r="A50" s="1"/>
      <x:c r="B50" s="1"/>
      <x:c r="C50" s="1"/>
      <x:c r="D50" s="1"/>
      <x:c r="E50" s="1"/>
      <x:c r="F50" s="1"/>
      <x:c r="G50" s="1"/>
      <x:c r="H50" s="1"/>
      <x:c r="I50" s="1"/>
      <x:c r="J50" s="1"/>
      <x:c r="K50" s="1"/>
      <x:c r="L50" s="1"/>
    </x:row>
    <x:row r="51">
      <x:c r="A51" s="1"/>
      <x:c r="B51" s="1"/>
      <x:c r="C51" s="1"/>
      <x:c r="D51" s="1"/>
      <x:c r="E51" s="1"/>
      <x:c r="F51" s="1"/>
      <x:c r="G51" s="1"/>
      <x:c r="H51" s="1"/>
      <x:c r="I51" s="1"/>
      <x:c r="J51" s="1"/>
      <x:c r="K51" s="1"/>
      <x:c r="L51" s="1"/>
    </x:row>
    <x:row r="52">
      <x:c r="A52" s="1"/>
      <x:c r="B52" s="1"/>
      <x:c r="C52" s="1"/>
      <x:c r="D52" s="1"/>
      <x:c r="E52" s="1"/>
      <x:c r="F52" s="1"/>
      <x:c r="G52" s="1"/>
      <x:c r="H52" s="1"/>
      <x:c r="I52" s="1"/>
      <x:c r="J52" s="1"/>
      <x:c r="K52" s="1"/>
      <x:c r="L52" s="1"/>
    </x:row>
    <x:row r="53">
      <x:c r="A53" s="1"/>
      <x:c r="B53" s="1"/>
      <x:c r="C53" s="1"/>
      <x:c r="D53" s="1"/>
      <x:c r="E53" s="1"/>
      <x:c r="F53" s="1"/>
      <x:c r="G53" s="1"/>
      <x:c r="H53" s="1"/>
      <x:c r="I53" s="1"/>
      <x:c r="J53" s="1"/>
      <x:c r="K53" s="1"/>
      <x:c r="L53" s="1"/>
    </x:row>
    <x:row r="54">
      <x:c r="A54" s="1"/>
      <x:c r="B54" s="1"/>
      <x:c r="C54" s="1"/>
      <x:c r="D54" s="1"/>
      <x:c r="E54" s="1"/>
      <x:c r="F54" s="1"/>
      <x:c r="G54" s="1"/>
      <x:c r="H54" s="1"/>
      <x:c r="I54" s="1"/>
      <x:c r="J54" s="1"/>
      <x:c r="K54" s="1"/>
      <x:c r="L54" s="1"/>
    </x:row>
    <x:row r="55">
      <x:c r="A55" s="1"/>
      <x:c r="B55" s="1"/>
      <x:c r="C55" s="1"/>
      <x:c r="D55" s="1"/>
      <x:c r="E55" s="1"/>
      <x:c r="F55" s="1"/>
      <x:c r="G55" s="1"/>
      <x:c r="H55" s="1"/>
      <x:c r="I55" s="1"/>
      <x:c r="J55" s="1"/>
      <x:c r="K55" s="1"/>
      <x:c r="L55" s="1"/>
    </x:row>
    <x:row r="56">
      <x:c r="A56" s="1"/>
      <x:c r="B56" s="1"/>
      <x:c r="C56" s="1"/>
      <x:c r="D56" s="1"/>
      <x:c r="E56" s="1"/>
      <x:c r="F56" s="1"/>
      <x:c r="G56" s="1"/>
      <x:c r="H56" s="1"/>
      <x:c r="I56" s="1"/>
      <x:c r="J56" s="1"/>
      <x:c r="K56" s="1"/>
      <x:c r="L56" s="1"/>
    </x:row>
    <x:row r="57">
      <x:c r="A57" s="1"/>
      <x:c r="B57" s="1"/>
      <x:c r="C57" s="1"/>
      <x:c r="D57" s="1"/>
      <x:c r="E57" s="1"/>
      <x:c r="F57" s="1"/>
      <x:c r="G57" s="1"/>
      <x:c r="H57" s="1"/>
      <x:c r="I57" s="1"/>
      <x:c r="J57" s="1"/>
      <x:c r="K57" s="1"/>
      <x:c r="L57" s="1"/>
    </x:row>
    <x:row r="58">
      <x:c r="A58" s="1"/>
      <x:c r="B58" s="1"/>
      <x:c r="C58" s="1"/>
      <x:c r="D58" s="1"/>
      <x:c r="E58" s="1"/>
      <x:c r="F58" s="1"/>
      <x:c r="G58" s="1"/>
      <x:c r="H58" s="1"/>
      <x:c r="I58" s="1"/>
      <x:c r="J58" s="1"/>
      <x:c r="K58" s="1"/>
      <x:c r="L58" s="1"/>
    </x:row>
    <x:row r="59">
      <x:c r="A59" s="1"/>
      <x:c r="B59" s="1"/>
      <x:c r="C59" s="1"/>
      <x:c r="D59" s="1"/>
      <x:c r="E59" s="1"/>
      <x:c r="F59" s="1"/>
      <x:c r="G59" s="1"/>
      <x:c r="H59" s="1"/>
      <x:c r="I59" s="1"/>
      <x:c r="J59" s="1"/>
      <x:c r="K59" s="1"/>
      <x:c r="L59" s="1"/>
    </x:row>
    <x:row r="60">
      <x:c r="A60" s="1"/>
      <x:c r="B60" s="1"/>
      <x:c r="C60" s="1"/>
      <x:c r="D60" s="1"/>
      <x:c r="E60" s="1"/>
      <x:c r="F60" s="1"/>
      <x:c r="G60" s="1"/>
      <x:c r="H60" s="1"/>
      <x:c r="I60" s="1"/>
      <x:c r="J60" s="1"/>
      <x:c r="K60" s="1"/>
      <x:c r="L60" s="1"/>
    </x:row>
  </x:sheetData>
  <x:mergeCells>
    <x:mergeCell ref="A1:H1"/>
    <x:mergeCell ref="A2:H2"/>
    <x:mergeCell ref="A4:H4"/>
    <x:mergeCell ref="A15:H15"/>
  </x:mergeCells>
  <x:conditionalFormatting sqref="B8:F12">
    <x:cfRule type="cellIs" dxfId="6" priority="1" operator="lessThan">
      <x:formula>0</x:formula>
    </x:cfRule>
    <x:cfRule type="cellIs" dxfId="7" priority="2" operator="between">
      <x:formula>0</x:formula>
      <x:formula>199.99</x:formula>
    </x:cfRule>
    <x:cfRule type="cellIs" dxfId="8" priority="3" operator="greaterThanOrEqual">
      <x:formula>200</x:formula>
    </x:cfRule>
  </x:conditionalFormatting>
  <x:conditionalFormatting sqref="D18:D21">
    <x:cfRule type="cellIs" dxfId="9" priority="4" operator="lessThan">
      <x:formula>'Property Input'!G8</x:formula>
    </x:cfRule>
  </x:conditionalFormatting>
  <x:pageMargins left="0.7" right="0.7" top="0.75" bottom="0.75" header="0.3" footer="0.3"/>
</x:worksheet>
</file>

<file path=xl/worksheets/sheet5.xml><?xml version="1.0" encoding="utf-8"?>
<x:worksheet xmlns:x="http://schemas.openxmlformats.org/spreadsheetml/2006/main">
  <x:sheetViews>
    <x:sheetView showGridLines="0" workbookViewId="0"/>
  </x:sheetViews>
  <x:sheetFormatPr defaultRowHeight="15"/>
  <x:cols>
    <x:col min="1" max="1" width="31" hidden="0" customWidth="1"/>
    <x:col min="2" max="2" width="16" hidden="0" customWidth="1"/>
    <x:col min="3" max="3" width="16" hidden="0" customWidth="1"/>
    <x:col min="4" max="4" width="16" hidden="0" customWidth="1"/>
    <x:col min="5" max="5" width="16" hidden="0" customWidth="1"/>
    <x:col min="6" max="6" width="46" hidden="0" customWidth="1"/>
  </x:cols>
  <x:sheetData>
    <x:row r="1" ht="34" customHeight="1">
      <x:c r="A1" s="5" t="str">
        <x:v>Model Checks</x:v>
      </x:c>
      <x:c r="B1" s="5"/>
      <x:c r="C1" s="5"/>
      <x:c r="D1" s="5"/>
      <x:c r="E1" s="5"/>
      <x:c r="F1" s="5"/>
      <x:c r="G1" s="5"/>
      <x:c r="H1" s="5"/>
      <x:c r="I1" s="1"/>
      <x:c r="J1" s="1"/>
      <x:c r="K1" s="1"/>
      <x:c r="L1" s="1"/>
    </x:row>
    <x:row r="2" ht="28" customHeight="1">
      <x:c r="A2" s="8" t="str">
        <x:v>Every check should say PASS. A failure means the assumptions or formulas need attention before relying on the result.</x:v>
      </x:c>
      <x:c r="B2" s="8"/>
      <x:c r="C2" s="8"/>
      <x:c r="D2" s="8"/>
      <x:c r="E2" s="8"/>
      <x:c r="F2" s="8"/>
      <x:c r="G2" s="8"/>
      <x:c r="H2" s="8"/>
      <x:c r="I2" s="1"/>
      <x:c r="J2" s="1"/>
      <x:c r="K2" s="1"/>
      <x:c r="L2" s="1"/>
    </x:row>
    <x:row r="3">
      <x:c r="A3" s="1"/>
      <x:c r="B3" s="1"/>
      <x:c r="C3" s="1"/>
      <x:c r="D3" s="1"/>
      <x:c r="E3" s="1"/>
      <x:c r="F3" s="1"/>
      <x:c r="G3" s="1"/>
      <x:c r="H3" s="1"/>
      <x:c r="I3" s="1"/>
      <x:c r="J3" s="1"/>
      <x:c r="K3" s="1"/>
      <x:c r="L3" s="1"/>
    </x:row>
    <x:row r="4">
      <x:c r="A4" s="139" t="str">
        <x:v>Check</x:v>
      </x:c>
      <x:c r="B4" s="139" t="str">
        <x:v>Actual</x:v>
      </x:c>
      <x:c r="C4" s="139" t="str">
        <x:v>Expected</x:v>
      </x:c>
      <x:c r="D4" s="139" t="str">
        <x:v>Difference</x:v>
      </x:c>
      <x:c r="E4" s="139" t="str">
        <x:v>Status</x:v>
      </x:c>
      <x:c r="F4" s="139" t="str">
        <x:v>Fix hint</x:v>
      </x:c>
      <x:c r="G4" s="1"/>
      <x:c r="H4" s="1"/>
      <x:c r="I4" s="1"/>
      <x:c r="J4" s="1"/>
      <x:c r="K4" s="1"/>
      <x:c r="L4" s="1"/>
    </x:row>
    <x:row r="5">
      <x:c r="A5" s="27" t="str">
        <x:v>Required acquisition inputs</x:v>
      </x:c>
      <x:c r="B5" s="27" t="n">
        <x:f>COUNT('Property Input'!B7,'Property Input'!B9,'Property Input'!B10,'Property Input'!B11)</x:f>
        <x:v>4</x:v>
      </x:c>
      <x:c r="C5" s="27" t="n">
        <x:v>4</x:v>
      </x:c>
      <x:c r="D5" s="27" t="n">
        <x:f>B5-C5</x:f>
        <x:v>0</x:v>
      </x:c>
      <x:c r="E5" s="27" t="str">
        <x:f>IF(ABS(D5)&lt;0.01,"PASS","FAIL")</x:f>
        <x:v>PASS</x:v>
      </x:c>
      <x:c r="F5" s="143" t="str">
        <x:v>Enter purchase price, repairs, ARV, and holding period.</x:v>
      </x:c>
      <x:c r="G5" s="1"/>
      <x:c r="H5" s="1"/>
      <x:c r="I5" s="1"/>
      <x:c r="J5" s="1"/>
      <x:c r="K5" s="1"/>
      <x:c r="L5" s="1"/>
    </x:row>
    <x:row r="6">
      <x:c r="A6" s="27" t="str">
        <x:v>Positive loan term and rate</x:v>
      </x:c>
      <x:c r="B6" s="27" t="n">
        <x:f>COUNTIF('Property Input'!B17,"&gt;0")+COUNTIF('Property Input'!B16,"&gt;=0")</x:f>
        <x:v>2</x:v>
      </x:c>
      <x:c r="C6" s="27" t="n">
        <x:v>2</x:v>
      </x:c>
      <x:c r="D6" s="27" t="n">
        <x:f>B6-C6</x:f>
        <x:v>0</x:v>
      </x:c>
      <x:c r="E6" s="27" t="str">
        <x:f>IF(ABS(D6)&lt;0.01,"PASS","FAIL")</x:f>
        <x:v>PASS</x:v>
      </x:c>
      <x:c r="F6" s="143" t="str">
        <x:v>Enter a loan term above zero and a non-negative interest rate.</x:v>
      </x:c>
      <x:c r="G6" s="1"/>
      <x:c r="H6" s="1"/>
      <x:c r="I6" s="1"/>
      <x:c r="J6" s="1"/>
      <x:c r="K6" s="1"/>
      <x:c r="L6" s="1"/>
    </x:row>
    <x:row r="7">
      <x:c r="A7" s="27" t="str">
        <x:v>Loan amount tie-out</x:v>
      </x:c>
      <x:c r="B7" s="27" t="n">
        <x:f>'Property Input'!B20-('Property Input'!B7*(1-'Property Input'!B15))</x:f>
        <x:v>0</x:v>
      </x:c>
      <x:c r="C7" s="27" t="n">
        <x:v>0</x:v>
      </x:c>
      <x:c r="D7" s="27" t="n">
        <x:f>B7-C7</x:f>
        <x:v>0</x:v>
      </x:c>
      <x:c r="E7" s="27" t="str">
        <x:f>IF(ABS(D7)&lt;0.01,"PASS","FAIL")</x:f>
        <x:v>PASS</x:v>
      </x:c>
      <x:c r="F7" s="143" t="str">
        <x:v>Loan amount must equal price × (1 − down payment).</x:v>
      </x:c>
      <x:c r="G7" s="1"/>
      <x:c r="H7" s="1"/>
      <x:c r="I7" s="1"/>
      <x:c r="J7" s="1"/>
      <x:c r="K7" s="1"/>
      <x:c r="L7" s="1"/>
    </x:row>
    <x:row r="8">
      <x:c r="A8" s="27" t="str">
        <x:v>NOI tie-out</x:v>
      </x:c>
      <x:c r="B8" s="27" t="n">
        <x:f>'Analysis'!B10-('Analysis'!B8-'Analysis'!B9)</x:f>
        <x:v>0</x:v>
      </x:c>
      <x:c r="C8" s="27" t="n">
        <x:v>0</x:v>
      </x:c>
      <x:c r="D8" s="27" t="n">
        <x:f>B8-C8</x:f>
        <x:v>0</x:v>
      </x:c>
      <x:c r="E8" s="27" t="str">
        <x:f>IF(ABS(D8)&lt;0.01,"PASS","FAIL")</x:f>
        <x:v>PASS</x:v>
      </x:c>
      <x:c r="F8" s="143" t="str">
        <x:v>NOI must equal effective income minus operating expenses.</x:v>
      </x:c>
      <x:c r="G8" s="1"/>
      <x:c r="H8" s="1"/>
      <x:c r="I8" s="1"/>
      <x:c r="J8" s="1"/>
      <x:c r="K8" s="1"/>
      <x:c r="L8" s="1"/>
    </x:row>
    <x:row r="9">
      <x:c r="A9" s="27" t="str">
        <x:v>Flip profit tie-out</x:v>
      </x:c>
      <x:c r="B9" s="27" t="n">
        <x:f>'Analysis'!F12-('Analysis'!F7-'Analysis'!F11)</x:f>
        <x:v>0</x:v>
      </x:c>
      <x:c r="C9" s="27" t="n">
        <x:v>0</x:v>
      </x:c>
      <x:c r="D9" s="27" t="n">
        <x:f>B9-C9</x:f>
        <x:v>0</x:v>
      </x:c>
      <x:c r="E9" s="27" t="str">
        <x:f>IF(ABS(D9)&lt;0.01,"PASS","FAIL")</x:f>
        <x:v>PASS</x:v>
      </x:c>
      <x:c r="F9" s="143" t="str">
        <x:v>Profit must equal sale price minus total project cost.</x:v>
      </x:c>
      <x:c r="G9" s="1"/>
      <x:c r="H9" s="1"/>
      <x:c r="I9" s="1"/>
      <x:c r="J9" s="1"/>
      <x:c r="K9" s="1"/>
      <x:c r="L9" s="1"/>
    </x:row>
    <x:row r="10">
      <x:c r="A10" s="27" t="str">
        <x:v>Stress table populated</x:v>
      </x:c>
      <x:c r="B10" s="27" t="n">
        <x:f>COUNT('Stress Test'!B8:F12)</x:f>
        <x:v>25</x:v>
      </x:c>
      <x:c r="C10" s="27" t="n">
        <x:v>25</x:v>
      </x:c>
      <x:c r="D10" s="27" t="n">
        <x:f>B10-C10</x:f>
        <x:v>0</x:v>
      </x:c>
      <x:c r="E10" s="27" t="str">
        <x:f>IF(ABS(D10)&lt;0.01,"PASS","FAIL")</x:f>
        <x:v>PASS</x:v>
      </x:c>
      <x:c r="F10" s="143" t="str">
        <x:v>All 25 rental stress cells must calculate.</x:v>
      </x:c>
      <x:c r="G10" s="1"/>
      <x:c r="H10" s="1"/>
      <x:c r="I10" s="1"/>
      <x:c r="J10" s="1"/>
      <x:c r="K10" s="1"/>
      <x:c r="L10" s="1"/>
    </x:row>
    <x:row r="11">
      <x:c r="A11" s="1"/>
      <x:c r="B11" s="1"/>
      <x:c r="C11" s="1"/>
      <x:c r="D11" s="1"/>
      <x:c r="E11" s="1"/>
      <x:c r="F11" s="1"/>
      <x:c r="G11" s="1"/>
      <x:c r="H11" s="1"/>
      <x:c r="I11" s="1"/>
      <x:c r="J11" s="1"/>
      <x:c r="K11" s="1"/>
      <x:c r="L11" s="1"/>
    </x:row>
    <x:row r="12">
      <x:c r="A12" s="1"/>
      <x:c r="B12" s="1"/>
      <x:c r="C12" s="1"/>
      <x:c r="D12" s="1"/>
      <x:c r="E12" s="1"/>
      <x:c r="F12" s="1"/>
      <x:c r="G12" s="1"/>
      <x:c r="H12" s="1"/>
      <x:c r="I12" s="1"/>
      <x:c r="J12" s="1"/>
      <x:c r="K12" s="1"/>
      <x:c r="L12" s="1"/>
    </x:row>
    <x:row r="13">
      <x:c r="A13" s="142" t="str">
        <x:v>Overall model status</x:v>
      </x:c>
      <x:c r="B13" s="140" t="str">
        <x:f>IF(COUNTIF(E5:E10,"FAIL")=0,"PASS","FAIL")</x:f>
        <x:v>PASS</x:v>
      </x:c>
      <x:c r="C13" s="140"/>
      <x:c r="D13" s="140"/>
      <x:c r="E13" s="1"/>
      <x:c r="F13" s="1"/>
      <x:c r="G13" s="1"/>
      <x:c r="H13" s="1"/>
      <x:c r="I13" s="1"/>
      <x:c r="J13" s="1"/>
      <x:c r="K13" s="1"/>
      <x:c r="L13" s="1"/>
    </x:row>
    <x:row r="14">
      <x:c r="A14" s="142" t="str">
        <x:v>Decision output</x:v>
      </x:c>
      <x:c r="B14" s="140" t="str">
        <x:f>'Analysis'!B26</x:f>
        <x:v>PROCEED TO DUE DILIGENCE</x:v>
      </x:c>
      <x:c r="C14" s="140"/>
      <x:c r="D14" s="140"/>
      <x:c r="E14" s="1"/>
      <x:c r="F14" s="1"/>
      <x:c r="G14" s="1"/>
      <x:c r="H14" s="1"/>
      <x:c r="I14" s="1"/>
      <x:c r="J14" s="1"/>
      <x:c r="K14" s="1"/>
      <x:c r="L14" s="1"/>
    </x:row>
    <x:row r="15">
      <x:c r="A15" s="1"/>
      <x:c r="B15" s="1"/>
      <x:c r="C15" s="1"/>
      <x:c r="D15" s="1"/>
      <x:c r="E15" s="1"/>
      <x:c r="F15" s="1"/>
      <x:c r="G15" s="1"/>
      <x:c r="H15" s="1"/>
      <x:c r="I15" s="1"/>
      <x:c r="J15" s="1"/>
      <x:c r="K15" s="1"/>
      <x:c r="L15" s="1"/>
    </x:row>
    <x:row r="16">
      <x:c r="A16" s="1"/>
      <x:c r="B16" s="1"/>
      <x:c r="C16" s="1"/>
      <x:c r="D16" s="1"/>
      <x:c r="E16" s="1"/>
      <x:c r="F16" s="1"/>
      <x:c r="G16" s="1"/>
      <x:c r="H16" s="1"/>
      <x:c r="I16" s="1"/>
      <x:c r="J16" s="1"/>
      <x:c r="K16" s="1"/>
      <x:c r="L16" s="1"/>
    </x:row>
    <x:row r="17">
      <x:c r="A17" s="1"/>
      <x:c r="B17" s="1"/>
      <x:c r="C17" s="1"/>
      <x:c r="D17" s="1"/>
      <x:c r="E17" s="1"/>
      <x:c r="F17" s="1"/>
      <x:c r="G17" s="1"/>
      <x:c r="H17" s="1"/>
      <x:c r="I17" s="1"/>
      <x:c r="J17" s="1"/>
      <x:c r="K17" s="1"/>
      <x:c r="L17" s="1"/>
    </x:row>
    <x:row r="18">
      <x:c r="A18" s="1"/>
      <x:c r="B18" s="1"/>
      <x:c r="C18" s="1"/>
      <x:c r="D18" s="1"/>
      <x:c r="E18" s="1"/>
      <x:c r="F18" s="1"/>
      <x:c r="G18" s="1"/>
      <x:c r="H18" s="1"/>
      <x:c r="I18" s="1"/>
      <x:c r="J18" s="1"/>
      <x:c r="K18" s="1"/>
      <x:c r="L18" s="1"/>
    </x:row>
    <x:row r="19">
      <x:c r="A19" s="1"/>
      <x:c r="B19" s="1"/>
      <x:c r="C19" s="1"/>
      <x:c r="D19" s="1"/>
      <x:c r="E19" s="1"/>
      <x:c r="F19" s="1"/>
      <x:c r="G19" s="1"/>
      <x:c r="H19" s="1"/>
      <x:c r="I19" s="1"/>
      <x:c r="J19" s="1"/>
      <x:c r="K19" s="1"/>
      <x:c r="L19" s="1"/>
    </x:row>
    <x:row r="20">
      <x:c r="A20" s="1"/>
      <x:c r="B20" s="1"/>
      <x:c r="C20" s="1"/>
      <x:c r="D20" s="1"/>
      <x:c r="E20" s="1"/>
      <x:c r="F20" s="1"/>
      <x:c r="G20" s="1"/>
      <x:c r="H20" s="1"/>
      <x:c r="I20" s="1"/>
      <x:c r="J20" s="1"/>
      <x:c r="K20" s="1"/>
      <x:c r="L20" s="1"/>
    </x:row>
    <x:row r="21">
      <x:c r="A21" s="1"/>
      <x:c r="B21" s="1"/>
      <x:c r="C21" s="1"/>
      <x:c r="D21" s="1"/>
      <x:c r="E21" s="1"/>
      <x:c r="F21" s="1"/>
      <x:c r="G21" s="1"/>
      <x:c r="H21" s="1"/>
      <x:c r="I21" s="1"/>
      <x:c r="J21" s="1"/>
      <x:c r="K21" s="1"/>
      <x:c r="L21" s="1"/>
    </x:row>
    <x:row r="22">
      <x:c r="A22" s="1"/>
      <x:c r="B22" s="1"/>
      <x:c r="C22" s="1"/>
      <x:c r="D22" s="1"/>
      <x:c r="E22" s="1"/>
      <x:c r="F22" s="1"/>
      <x:c r="G22" s="1"/>
      <x:c r="H22" s="1"/>
      <x:c r="I22" s="1"/>
      <x:c r="J22" s="1"/>
      <x:c r="K22" s="1"/>
      <x:c r="L22" s="1"/>
    </x:row>
    <x:row r="23">
      <x:c r="A23" s="1"/>
      <x:c r="B23" s="1"/>
      <x:c r="C23" s="1"/>
      <x:c r="D23" s="1"/>
      <x:c r="E23" s="1"/>
      <x:c r="F23" s="1"/>
      <x:c r="G23" s="1"/>
      <x:c r="H23" s="1"/>
      <x:c r="I23" s="1"/>
      <x:c r="J23" s="1"/>
      <x:c r="K23" s="1"/>
      <x:c r="L23" s="1"/>
    </x:row>
    <x:row r="24">
      <x:c r="A24" s="1"/>
      <x:c r="B24" s="1"/>
      <x:c r="C24" s="1"/>
      <x:c r="D24" s="1"/>
      <x:c r="E24" s="1"/>
      <x:c r="F24" s="1"/>
      <x:c r="G24" s="1"/>
      <x:c r="H24" s="1"/>
      <x:c r="I24" s="1"/>
      <x:c r="J24" s="1"/>
      <x:c r="K24" s="1"/>
      <x:c r="L24" s="1"/>
    </x:row>
    <x:row r="25">
      <x:c r="A25" s="1"/>
      <x:c r="B25" s="1"/>
      <x:c r="C25" s="1"/>
      <x:c r="D25" s="1"/>
      <x:c r="E25" s="1"/>
      <x:c r="F25" s="1"/>
      <x:c r="G25" s="1"/>
      <x:c r="H25" s="1"/>
      <x:c r="I25" s="1"/>
      <x:c r="J25" s="1"/>
      <x:c r="K25" s="1"/>
      <x:c r="L25" s="1"/>
    </x:row>
    <x:row r="26">
      <x:c r="A26" s="1"/>
      <x:c r="B26" s="1"/>
      <x:c r="C26" s="1"/>
      <x:c r="D26" s="1"/>
      <x:c r="E26" s="1"/>
      <x:c r="F26" s="1"/>
      <x:c r="G26" s="1"/>
      <x:c r="H26" s="1"/>
      <x:c r="I26" s="1"/>
      <x:c r="J26" s="1"/>
      <x:c r="K26" s="1"/>
      <x:c r="L26" s="1"/>
    </x:row>
    <x:row r="27">
      <x:c r="A27" s="1"/>
      <x:c r="B27" s="1"/>
      <x:c r="C27" s="1"/>
      <x:c r="D27" s="1"/>
      <x:c r="E27" s="1"/>
      <x:c r="F27" s="1"/>
      <x:c r="G27" s="1"/>
      <x:c r="H27" s="1"/>
      <x:c r="I27" s="1"/>
      <x:c r="J27" s="1"/>
      <x:c r="K27" s="1"/>
      <x:c r="L27" s="1"/>
    </x:row>
    <x:row r="28">
      <x:c r="A28" s="1"/>
      <x:c r="B28" s="1"/>
      <x:c r="C28" s="1"/>
      <x:c r="D28" s="1"/>
      <x:c r="E28" s="1"/>
      <x:c r="F28" s="1"/>
      <x:c r="G28" s="1"/>
      <x:c r="H28" s="1"/>
      <x:c r="I28" s="1"/>
      <x:c r="J28" s="1"/>
      <x:c r="K28" s="1"/>
      <x:c r="L28" s="1"/>
    </x:row>
    <x:row r="29">
      <x:c r="A29" s="1"/>
      <x:c r="B29" s="1"/>
      <x:c r="C29" s="1"/>
      <x:c r="D29" s="1"/>
      <x:c r="E29" s="1"/>
      <x:c r="F29" s="1"/>
      <x:c r="G29" s="1"/>
      <x:c r="H29" s="1"/>
      <x:c r="I29" s="1"/>
      <x:c r="J29" s="1"/>
      <x:c r="K29" s="1"/>
      <x:c r="L29" s="1"/>
    </x:row>
    <x:row r="30">
      <x:c r="A30" s="1"/>
      <x:c r="B30" s="1"/>
      <x:c r="C30" s="1"/>
      <x:c r="D30" s="1"/>
      <x:c r="E30" s="1"/>
      <x:c r="F30" s="1"/>
      <x:c r="G30" s="1"/>
      <x:c r="H30" s="1"/>
      <x:c r="I30" s="1"/>
      <x:c r="J30" s="1"/>
      <x:c r="K30" s="1"/>
      <x:c r="L30" s="1"/>
    </x:row>
    <x:row r="31">
      <x:c r="A31" s="1"/>
      <x:c r="B31" s="1"/>
      <x:c r="C31" s="1"/>
      <x:c r="D31" s="1"/>
      <x:c r="E31" s="1"/>
      <x:c r="F31" s="1"/>
      <x:c r="G31" s="1"/>
      <x:c r="H31" s="1"/>
      <x:c r="I31" s="1"/>
      <x:c r="J31" s="1"/>
      <x:c r="K31" s="1"/>
      <x:c r="L31" s="1"/>
    </x:row>
    <x:row r="32">
      <x:c r="A32" s="1"/>
      <x:c r="B32" s="1"/>
      <x:c r="C32" s="1"/>
      <x:c r="D32" s="1"/>
      <x:c r="E32" s="1"/>
      <x:c r="F32" s="1"/>
      <x:c r="G32" s="1"/>
      <x:c r="H32" s="1"/>
      <x:c r="I32" s="1"/>
      <x:c r="J32" s="1"/>
      <x:c r="K32" s="1"/>
      <x:c r="L32" s="1"/>
    </x:row>
    <x:row r="33">
      <x:c r="A33" s="1"/>
      <x:c r="B33" s="1"/>
      <x:c r="C33" s="1"/>
      <x:c r="D33" s="1"/>
      <x:c r="E33" s="1"/>
      <x:c r="F33" s="1"/>
      <x:c r="G33" s="1"/>
      <x:c r="H33" s="1"/>
      <x:c r="I33" s="1"/>
      <x:c r="J33" s="1"/>
      <x:c r="K33" s="1"/>
      <x:c r="L33" s="1"/>
    </x:row>
    <x:row r="34">
      <x:c r="A34" s="1"/>
      <x:c r="B34" s="1"/>
      <x:c r="C34" s="1"/>
      <x:c r="D34" s="1"/>
      <x:c r="E34" s="1"/>
      <x:c r="F34" s="1"/>
      <x:c r="G34" s="1"/>
      <x:c r="H34" s="1"/>
      <x:c r="I34" s="1"/>
      <x:c r="J34" s="1"/>
      <x:c r="K34" s="1"/>
      <x:c r="L34" s="1"/>
    </x:row>
    <x:row r="35">
      <x:c r="A35" s="1"/>
      <x:c r="B35" s="1"/>
      <x:c r="C35" s="1"/>
      <x:c r="D35" s="1"/>
      <x:c r="E35" s="1"/>
      <x:c r="F35" s="1"/>
      <x:c r="G35" s="1"/>
      <x:c r="H35" s="1"/>
      <x:c r="I35" s="1"/>
      <x:c r="J35" s="1"/>
      <x:c r="K35" s="1"/>
      <x:c r="L35" s="1"/>
    </x:row>
    <x:row r="36">
      <x:c r="A36" s="1"/>
      <x:c r="B36" s="1"/>
      <x:c r="C36" s="1"/>
      <x:c r="D36" s="1"/>
      <x:c r="E36" s="1"/>
      <x:c r="F36" s="1"/>
      <x:c r="G36" s="1"/>
      <x:c r="H36" s="1"/>
      <x:c r="I36" s="1"/>
      <x:c r="J36" s="1"/>
      <x:c r="K36" s="1"/>
      <x:c r="L36" s="1"/>
    </x:row>
    <x:row r="37">
      <x:c r="A37" s="1"/>
      <x:c r="B37" s="1"/>
      <x:c r="C37" s="1"/>
      <x:c r="D37" s="1"/>
      <x:c r="E37" s="1"/>
      <x:c r="F37" s="1"/>
      <x:c r="G37" s="1"/>
      <x:c r="H37" s="1"/>
      <x:c r="I37" s="1"/>
      <x:c r="J37" s="1"/>
      <x:c r="K37" s="1"/>
      <x:c r="L37" s="1"/>
    </x:row>
    <x:row r="38">
      <x:c r="A38" s="1"/>
      <x:c r="B38" s="1"/>
      <x:c r="C38" s="1"/>
      <x:c r="D38" s="1"/>
      <x:c r="E38" s="1"/>
      <x:c r="F38" s="1"/>
      <x:c r="G38" s="1"/>
      <x:c r="H38" s="1"/>
      <x:c r="I38" s="1"/>
      <x:c r="J38" s="1"/>
      <x:c r="K38" s="1"/>
      <x:c r="L38" s="1"/>
    </x:row>
    <x:row r="39">
      <x:c r="A39" s="1"/>
      <x:c r="B39" s="1"/>
      <x:c r="C39" s="1"/>
      <x:c r="D39" s="1"/>
      <x:c r="E39" s="1"/>
      <x:c r="F39" s="1"/>
      <x:c r="G39" s="1"/>
      <x:c r="H39" s="1"/>
      <x:c r="I39" s="1"/>
      <x:c r="J39" s="1"/>
      <x:c r="K39" s="1"/>
      <x:c r="L39" s="1"/>
    </x:row>
    <x:row r="40">
      <x:c r="A40" s="1"/>
      <x:c r="B40" s="1"/>
      <x:c r="C40" s="1"/>
      <x:c r="D40" s="1"/>
      <x:c r="E40" s="1"/>
      <x:c r="F40" s="1"/>
      <x:c r="G40" s="1"/>
      <x:c r="H40" s="1"/>
      <x:c r="I40" s="1"/>
      <x:c r="J40" s="1"/>
      <x:c r="K40" s="1"/>
      <x:c r="L40" s="1"/>
    </x:row>
    <x:row r="41">
      <x:c r="A41" s="1"/>
      <x:c r="B41" s="1"/>
      <x:c r="C41" s="1"/>
      <x:c r="D41" s="1"/>
      <x:c r="E41" s="1"/>
      <x:c r="F41" s="1"/>
      <x:c r="G41" s="1"/>
      <x:c r="H41" s="1"/>
      <x:c r="I41" s="1"/>
      <x:c r="J41" s="1"/>
      <x:c r="K41" s="1"/>
      <x:c r="L41" s="1"/>
    </x:row>
    <x:row r="42">
      <x:c r="A42" s="1"/>
      <x:c r="B42" s="1"/>
      <x:c r="C42" s="1"/>
      <x:c r="D42" s="1"/>
      <x:c r="E42" s="1"/>
      <x:c r="F42" s="1"/>
      <x:c r="G42" s="1"/>
      <x:c r="H42" s="1"/>
      <x:c r="I42" s="1"/>
      <x:c r="J42" s="1"/>
      <x:c r="K42" s="1"/>
      <x:c r="L42" s="1"/>
    </x:row>
    <x:row r="43">
      <x:c r="A43" s="1"/>
      <x:c r="B43" s="1"/>
      <x:c r="C43" s="1"/>
      <x:c r="D43" s="1"/>
      <x:c r="E43" s="1"/>
      <x:c r="F43" s="1"/>
      <x:c r="G43" s="1"/>
      <x:c r="H43" s="1"/>
      <x:c r="I43" s="1"/>
      <x:c r="J43" s="1"/>
      <x:c r="K43" s="1"/>
      <x:c r="L43" s="1"/>
    </x:row>
    <x:row r="44">
      <x:c r="A44" s="1"/>
      <x:c r="B44" s="1"/>
      <x:c r="C44" s="1"/>
      <x:c r="D44" s="1"/>
      <x:c r="E44" s="1"/>
      <x:c r="F44" s="1"/>
      <x:c r="G44" s="1"/>
      <x:c r="H44" s="1"/>
      <x:c r="I44" s="1"/>
      <x:c r="J44" s="1"/>
      <x:c r="K44" s="1"/>
      <x:c r="L44" s="1"/>
    </x:row>
    <x:row r="45">
      <x:c r="A45" s="1"/>
      <x:c r="B45" s="1"/>
      <x:c r="C45" s="1"/>
      <x:c r="D45" s="1"/>
      <x:c r="E45" s="1"/>
      <x:c r="F45" s="1"/>
      <x:c r="G45" s="1"/>
      <x:c r="H45" s="1"/>
      <x:c r="I45" s="1"/>
      <x:c r="J45" s="1"/>
      <x:c r="K45" s="1"/>
      <x:c r="L45" s="1"/>
    </x:row>
    <x:row r="46">
      <x:c r="A46" s="1"/>
      <x:c r="B46" s="1"/>
      <x:c r="C46" s="1"/>
      <x:c r="D46" s="1"/>
      <x:c r="E46" s="1"/>
      <x:c r="F46" s="1"/>
      <x:c r="G46" s="1"/>
      <x:c r="H46" s="1"/>
      <x:c r="I46" s="1"/>
      <x:c r="J46" s="1"/>
      <x:c r="K46" s="1"/>
      <x:c r="L46" s="1"/>
    </x:row>
    <x:row r="47">
      <x:c r="A47" s="1"/>
      <x:c r="B47" s="1"/>
      <x:c r="C47" s="1"/>
      <x:c r="D47" s="1"/>
      <x:c r="E47" s="1"/>
      <x:c r="F47" s="1"/>
      <x:c r="G47" s="1"/>
      <x:c r="H47" s="1"/>
      <x:c r="I47" s="1"/>
      <x:c r="J47" s="1"/>
      <x:c r="K47" s="1"/>
      <x:c r="L47" s="1"/>
    </x:row>
    <x:row r="48">
      <x:c r="A48" s="1"/>
      <x:c r="B48" s="1"/>
      <x:c r="C48" s="1"/>
      <x:c r="D48" s="1"/>
      <x:c r="E48" s="1"/>
      <x:c r="F48" s="1"/>
      <x:c r="G48" s="1"/>
      <x:c r="H48" s="1"/>
      <x:c r="I48" s="1"/>
      <x:c r="J48" s="1"/>
      <x:c r="K48" s="1"/>
      <x:c r="L48" s="1"/>
    </x:row>
    <x:row r="49">
      <x:c r="A49" s="1"/>
      <x:c r="B49" s="1"/>
      <x:c r="C49" s="1"/>
      <x:c r="D49" s="1"/>
      <x:c r="E49" s="1"/>
      <x:c r="F49" s="1"/>
      <x:c r="G49" s="1"/>
      <x:c r="H49" s="1"/>
      <x:c r="I49" s="1"/>
      <x:c r="J49" s="1"/>
      <x:c r="K49" s="1"/>
      <x:c r="L49" s="1"/>
    </x:row>
    <x:row r="50">
      <x:c r="A50" s="1"/>
      <x:c r="B50" s="1"/>
      <x:c r="C50" s="1"/>
      <x:c r="D50" s="1"/>
      <x:c r="E50" s="1"/>
      <x:c r="F50" s="1"/>
      <x:c r="G50" s="1"/>
      <x:c r="H50" s="1"/>
      <x:c r="I50" s="1"/>
      <x:c r="J50" s="1"/>
      <x:c r="K50" s="1"/>
      <x:c r="L50" s="1"/>
    </x:row>
    <x:row r="51">
      <x:c r="A51" s="1"/>
      <x:c r="B51" s="1"/>
      <x:c r="C51" s="1"/>
      <x:c r="D51" s="1"/>
      <x:c r="E51" s="1"/>
      <x:c r="F51" s="1"/>
      <x:c r="G51" s="1"/>
      <x:c r="H51" s="1"/>
      <x:c r="I51" s="1"/>
      <x:c r="J51" s="1"/>
      <x:c r="K51" s="1"/>
      <x:c r="L51" s="1"/>
    </x:row>
    <x:row r="52">
      <x:c r="A52" s="1"/>
      <x:c r="B52" s="1"/>
      <x:c r="C52" s="1"/>
      <x:c r="D52" s="1"/>
      <x:c r="E52" s="1"/>
      <x:c r="F52" s="1"/>
      <x:c r="G52" s="1"/>
      <x:c r="H52" s="1"/>
      <x:c r="I52" s="1"/>
      <x:c r="J52" s="1"/>
      <x:c r="K52" s="1"/>
      <x:c r="L52" s="1"/>
    </x:row>
    <x:row r="53">
      <x:c r="A53" s="1"/>
      <x:c r="B53" s="1"/>
      <x:c r="C53" s="1"/>
      <x:c r="D53" s="1"/>
      <x:c r="E53" s="1"/>
      <x:c r="F53" s="1"/>
      <x:c r="G53" s="1"/>
      <x:c r="H53" s="1"/>
      <x:c r="I53" s="1"/>
      <x:c r="J53" s="1"/>
      <x:c r="K53" s="1"/>
      <x:c r="L53" s="1"/>
    </x:row>
    <x:row r="54">
      <x:c r="A54" s="1"/>
      <x:c r="B54" s="1"/>
      <x:c r="C54" s="1"/>
      <x:c r="D54" s="1"/>
      <x:c r="E54" s="1"/>
      <x:c r="F54" s="1"/>
      <x:c r="G54" s="1"/>
      <x:c r="H54" s="1"/>
      <x:c r="I54" s="1"/>
      <x:c r="J54" s="1"/>
      <x:c r="K54" s="1"/>
      <x:c r="L54" s="1"/>
    </x:row>
    <x:row r="55">
      <x:c r="A55" s="1"/>
      <x:c r="B55" s="1"/>
      <x:c r="C55" s="1"/>
      <x:c r="D55" s="1"/>
      <x:c r="E55" s="1"/>
      <x:c r="F55" s="1"/>
      <x:c r="G55" s="1"/>
      <x:c r="H55" s="1"/>
      <x:c r="I55" s="1"/>
      <x:c r="J55" s="1"/>
      <x:c r="K55" s="1"/>
      <x:c r="L55" s="1"/>
    </x:row>
    <x:row r="56">
      <x:c r="A56" s="1"/>
      <x:c r="B56" s="1"/>
      <x:c r="C56" s="1"/>
      <x:c r="D56" s="1"/>
      <x:c r="E56" s="1"/>
      <x:c r="F56" s="1"/>
      <x:c r="G56" s="1"/>
      <x:c r="H56" s="1"/>
      <x:c r="I56" s="1"/>
      <x:c r="J56" s="1"/>
      <x:c r="K56" s="1"/>
      <x:c r="L56" s="1"/>
    </x:row>
    <x:row r="57">
      <x:c r="A57" s="1"/>
      <x:c r="B57" s="1"/>
      <x:c r="C57" s="1"/>
      <x:c r="D57" s="1"/>
      <x:c r="E57" s="1"/>
      <x:c r="F57" s="1"/>
      <x:c r="G57" s="1"/>
      <x:c r="H57" s="1"/>
      <x:c r="I57" s="1"/>
      <x:c r="J57" s="1"/>
      <x:c r="K57" s="1"/>
      <x:c r="L57" s="1"/>
    </x:row>
    <x:row r="58">
      <x:c r="A58" s="1"/>
      <x:c r="B58" s="1"/>
      <x:c r="C58" s="1"/>
      <x:c r="D58" s="1"/>
      <x:c r="E58" s="1"/>
      <x:c r="F58" s="1"/>
      <x:c r="G58" s="1"/>
      <x:c r="H58" s="1"/>
      <x:c r="I58" s="1"/>
      <x:c r="J58" s="1"/>
      <x:c r="K58" s="1"/>
      <x:c r="L58" s="1"/>
    </x:row>
    <x:row r="59">
      <x:c r="A59" s="1"/>
      <x:c r="B59" s="1"/>
      <x:c r="C59" s="1"/>
      <x:c r="D59" s="1"/>
      <x:c r="E59" s="1"/>
      <x:c r="F59" s="1"/>
      <x:c r="G59" s="1"/>
      <x:c r="H59" s="1"/>
      <x:c r="I59" s="1"/>
      <x:c r="J59" s="1"/>
      <x:c r="K59" s="1"/>
      <x:c r="L59" s="1"/>
    </x:row>
    <x:row r="60">
      <x:c r="A60" s="1"/>
      <x:c r="B60" s="1"/>
      <x:c r="C60" s="1"/>
      <x:c r="D60" s="1"/>
      <x:c r="E60" s="1"/>
      <x:c r="F60" s="1"/>
      <x:c r="G60" s="1"/>
      <x:c r="H60" s="1"/>
      <x:c r="I60" s="1"/>
      <x:c r="J60" s="1"/>
      <x:c r="K60" s="1"/>
      <x:c r="L60" s="1"/>
    </x:row>
  </x:sheetData>
  <x:mergeCells>
    <x:mergeCell ref="A1:H1"/>
    <x:mergeCell ref="A2:H2"/>
    <x:mergeCell ref="B13:D13"/>
    <x:mergeCell ref="B14:D14"/>
  </x:mergeCells>
  <x:conditionalFormatting sqref="E5:E10">
    <x:cfRule type="containsText" dxfId="10" priority="1" operator="containsText" text="PASS"/>
    <x:cfRule type="containsText" dxfId="11" priority="2" operator="containsText" text="FAIL"/>
  </x:conditionalFormatting>
  <x:conditionalFormatting sqref="B13:B13">
    <x:cfRule type="containsText" dxfId="12" priority="3" operator="containsText" text="PASS"/>
    <x:cfRule type="containsText" dxfId="13" priority="4" operator="containsText" text="FAIL"/>
  </x:conditionalFormatting>
  <x:pageMargins left="0.7" right="0.7" top="0.75" bottom="0.75" header="0.3" footer="0.3"/>
</x:worksheet>
</file>